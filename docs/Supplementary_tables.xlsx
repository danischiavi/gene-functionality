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1Included features" sheetId="1" r:id="rId5"/>
    <sheet state="visible" name="S2Excluded features" sheetId="2" r:id="rId6"/>
    <sheet state="visible" name="S3KS test statistics per featur" sheetId="3" r:id="rId7"/>
    <sheet state="visible" name="S4Summary stats z-scores " sheetId="4" r:id="rId8"/>
    <sheet state="visible" name="S5Spearman correlation coeffici" sheetId="5" r:id="rId9"/>
    <sheet state="visible" name="S6sncRNA interactions" sheetId="6" r:id="rId10"/>
    <sheet state="visible" name="S7High SNP density sncRNAs" sheetId="7" r:id="rId11"/>
    <sheet state="visible" name="S8correlations between features" sheetId="8" r:id="rId12"/>
  </sheets>
  <definedNames>
    <definedName hidden="1" localSheetId="4" name="_xlnm._FilterDatabase">'S5Spearman correlation coeffici'!$A$1:$G$82</definedName>
    <definedName hidden="1" localSheetId="7" name="_xlnm._FilterDatabase">'S8correlations between features'!$A$1:$H$28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tc={08bb3b55-9b6e-4019-bea4-720dcf830a4a}</author>
    <author>tc={193bf754-b117-4d3f-954d-fc1770a1045b}</author>
    <author>tc={5d1539a4-ed34-4c92-b45c-0d862ab82ae8}</author>
    <author>tc={8becc779-0987-47ce-8443-b4b21f0522b2}</author>
    <author>tc={98c9687d-e6b4-4a2d-9493-497b7a30a460}</author>
    <author>tc={e8fb6998-cfd1-4e7d-891a-884c20753ba2}</author>
    <author>tc={eb629278-3a16-46bb-bef1-66f5d8da309c}</author>
    <author>tc={eb8f9a9b-5faf-475f-866e-60625c62866d}</author>
  </authors>
  <commentList>
    <comment authorId="0" xr:uid="{08bb3b55-9b6e-4019-bea4-720dcf830a4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Flagging this table only so the question mark comments don't make it into the final version. I'm sure you guys have this under control though :)
Reply:
	Ha -- only just noticed!
</t>
      </text>
    </comment>
    <comment authorId="1" xr:uid="{193bf754-b117-4d3f-954d-fc1770a1045b}" ref="D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@danielaschiavinato@gmail.com
</t>
      </text>
    </comment>
    <comment authorId="2" xr:uid="{5d1539a4-ed34-4c92-b45c-0d862ab82ae8}" ref="D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UPDATE. @karla.e.rojas1490@gmail.com
Assigned to karla.e.rojas1490@gmail.com
</t>
      </text>
    </comment>
    <comment authorId="3" xr:uid="{8becc779-0987-47ce-8443-b4b21f0522b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@karla.e.rojas1490@gmail.com are these correct? These are VERY low correlations. 
Any chance you could add methylome vs RPKMs too?
Assigned to karla.e.rojas1490@gmail.com
Reply:
	They should be correct, the same method was applied to get the correlations for all the features. I can have a second look just in case I missed something.
Reply:
	these are calculated considering only the positive datasets, aren't they?
Reply:
	Yes, they are calculated only considering the positive datasets
</t>
      </text>
    </comment>
    <comment authorId="4" xr:uid="{98c9687d-e6b4-4a2d-9493-497b7a30a46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@karla.e.rojas1490@gmail.com do we ever use this? Is it possible to add the same tables for sncRNA &amp; lncRNA below?
Assigned to karla.e.rojas1490@gmail.com
Reply:
	No at the end we don't use the meanAD because none of the MAD values are smaller than 1e-6. We can remove it from the formula in the main paper and the script. I did not noticed that until I included this tables, sorry. I have added the tables for sncRNAs and lncRNAs below.
Reply:
	Add samples size for each statistic too? Dani mentioned we have missing data for e.g. GERP... @karla.e.rojas1490@gmail.com
Reply:
	I have added sample size for every feature
</t>
      </text>
    </comment>
    <comment authorId="5" xr:uid="{e8fb6998-cfd1-4e7d-891a-884c20753ba2}" ref="A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are these highlighted for some reason?
</t>
      </text>
    </comment>
    <comment authorId="6" xr:uid="{eb629278-3a16-46bb-bef1-66f5d8da309c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@danielaschiavinato@gmail.com @karla.e.rojas1490@gmail.com can we add URLs to the data sources here too?
</t>
      </text>
    </comment>
    <comment authorId="7" xr:uid="{eb8f9a9b-5faf-475f-866e-60625c62866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@karla.e.rojas1490@gmail.com  Add a few more details -- what is being correlated with what?...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tc={5a118680-a779-4712-a60b-12fbc50d87cc}</author>
    <author>tc={6e1b5db4-fc33-4824-950b-dafd9874af68}</author>
    <author>tc={87569a79-13fb-4081-99a3-6aabf27416e3}</author>
  </authors>
  <commentList>
    <comment authorId="0" xr:uid="{5a118680-a779-4712-a60b-12fbc50d87cc}" ref="C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@danielaschiavinato@gmail.com Any idea why there are negative &amp; fractional values here? Shouldn't these be positive integers?
Assigned to danielaschiavinato@gmail.com
Reply:
	Nevermind -- they're Z-scores. I just twigged!
</t>
      </text>
    </comment>
    <comment authorId="1" xr:uid="{6e1b5db4-fc33-4824-950b-dafd9874af68}" ref="P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mRNA or lncRNA @karla.e.rojas1490@gmail.com
Assigned to karla.e.rojas1490@gmail.com
Reply:
	lncRNA
</t>
      </text>
    </comment>
    <comment authorId="2" xr:uid="{87569a79-13fb-4081-99a3-6aabf27416e3}" ref="P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mRNA or sncRNA? @karla.e.rojas1490@gmail.com
Reply:
	raw sncRNA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tc={4ebd2a7b-8ff0-43cc-bf9b-d627b8ec5d8d}</author>
    <author>tc={6f567b61-df98-437b-aec1-56d882828ce6}</author>
  </authors>
  <commentList>
    <comment authorId="0" xr:uid="{4ebd2a7b-8ff0-43cc-bf9b-d627b8ec5d8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paul's comment: I think we need to shift these to the spreadsheet for consistency -- I suggest 34 data rows, with the "strongest" interaction partner &amp; details for each of the conserved &amp; abundant ncRNAs. Basically a combination of the two tables... We can sort on "min binding energy" to highlight the strongest interactions.
</t>
      </text>
    </comment>
    <comment authorId="1" xr:uid="{6f567b61-df98-437b-aec1-56d882828ce6}" ref="C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work in progress
</t>
      </text>
    </comment>
  </commentList>
</comments>
</file>

<file path=xl/sharedStrings.xml><?xml version="1.0" encoding="utf-8"?>
<sst xmlns="http://schemas.openxmlformats.org/spreadsheetml/2006/main" count="1381" uniqueCount="707">
  <si>
    <t>Feature</t>
  </si>
  <si>
    <t xml:space="preserve">Long name </t>
  </si>
  <si>
    <t>Short name</t>
  </si>
  <si>
    <t>Description</t>
  </si>
  <si>
    <t>Calculated Using</t>
  </si>
  <si>
    <t>Comments/URLs</t>
  </si>
  <si>
    <t>Intrinsic sequence</t>
  </si>
  <si>
    <t>GC%</t>
  </si>
  <si>
    <t>C+G content</t>
  </si>
  <si>
    <t>( cnt(C)+cnt(G) )/length</t>
  </si>
  <si>
    <t>Selection dinucelotide composition</t>
  </si>
  <si>
    <t>CpG dinucleotide content, GA dinucleotide content, GT dinucleotide content, TA dinucleotide content</t>
  </si>
  <si>
    <t>CpG, GA, GT &amp; TA</t>
  </si>
  <si>
    <t xml:space="preserve">Composition of selected dinucleotides CpG, GA, GT &amp; TA </t>
  </si>
  <si>
    <t>log2( (Fxy + d) /((Fx + sqrt(d)) * (Fy + sqrt(d))) )</t>
  </si>
  <si>
    <t>d = a small number/pseudocount.</t>
  </si>
  <si>
    <t>Low complexity</t>
  </si>
  <si>
    <t xml:space="preserve">Low complexity density </t>
  </si>
  <si>
    <t>Low Complexity</t>
  </si>
  <si>
    <t xml:space="preserve">Proportion of sequence classified as "low complexity". </t>
  </si>
  <si>
    <t>dustmasker</t>
  </si>
  <si>
    <t>Sequence conservation</t>
  </si>
  <si>
    <t>PhyloP Max 241way MSA</t>
  </si>
  <si>
    <t>PhyloP max (241 mammals)</t>
  </si>
  <si>
    <t>PhyloP-mammals</t>
  </si>
  <si>
    <t>Maximum PhyloP from UCSC 241way mammal alignment</t>
  </si>
  <si>
    <t>bigWigSummary</t>
  </si>
  <si>
    <t>241way PhyloP scores</t>
  </si>
  <si>
    <t>PhyloP Max 100way MSA</t>
  </si>
  <si>
    <t>PhyloP max (100 vertebrates)</t>
  </si>
  <si>
    <t>PhyloP-vertebrates</t>
  </si>
  <si>
    <t>Maximum PhyloP from UCSC 100way vertebrates alignment</t>
  </si>
  <si>
    <t>100way PhyloP Scores</t>
  </si>
  <si>
    <t>GERP 91 eutherian mammals</t>
  </si>
  <si>
    <t>GERP max (91 eutherian mammals)</t>
  </si>
  <si>
    <t>GERP-mammals</t>
  </si>
  <si>
    <t>Maximum GERP from Ensembl 91way eutherian mammals</t>
  </si>
  <si>
    <t>91way GERP scores</t>
  </si>
  <si>
    <t>GERP 63 amniota vertebrates</t>
  </si>
  <si>
    <t>GERP max (63 amniota vertebrates)</t>
  </si>
  <si>
    <t>GERP-vertebrates</t>
  </si>
  <si>
    <t>Maximum GERP from Ensembl 63way amniota vertebrates</t>
  </si>
  <si>
    <t>63way GERP scores</t>
  </si>
  <si>
    <t>Transcriptome Expression</t>
  </si>
  <si>
    <t>Tissue RPKM</t>
  </si>
  <si>
    <t>Highest RPKM observed across 71 small and total tissue RNAseq datasets.</t>
  </si>
  <si>
    <t>samtools</t>
  </si>
  <si>
    <t>Links for ENCODE BAM files</t>
  </si>
  <si>
    <t>Primary Cell RPKM</t>
  </si>
  <si>
    <t>Primary cell RPKM</t>
  </si>
  <si>
    <t>Highest RPKM observed across 140 small and total primary cell RNAseq datasets.</t>
  </si>
  <si>
    <t>Genomic repeat association</t>
  </si>
  <si>
    <t xml:space="preserve">Copy number </t>
  </si>
  <si>
    <t>Genomic copy number</t>
  </si>
  <si>
    <t>Copies</t>
  </si>
  <si>
    <t xml:space="preserve">Number of copies in GCh38 </t>
  </si>
  <si>
    <t>mmseq2</t>
  </si>
  <si>
    <t>Repeat Distance Sum</t>
  </si>
  <si>
    <t>Repeat free region</t>
  </si>
  <si>
    <t>Repeat free</t>
  </si>
  <si>
    <t xml:space="preserve">Sum of upstream and downstream min distance to non-overlapping Dfam element. Note, many sRNAs are classified as repeat by Dfam (e.g. SRP, tRNA, rRNA, Y RNA, snRNA, ...) </t>
  </si>
  <si>
    <t>bedtools</t>
  </si>
  <si>
    <t xml:space="preserve">dfam 3.8: hg38.nrph.hits </t>
  </si>
  <si>
    <t>Protein/RNA specific features</t>
  </si>
  <si>
    <t>Protein-coding signals:</t>
  </si>
  <si>
    <t xml:space="preserve">RNAcode Coding Potential </t>
  </si>
  <si>
    <t>RNAcode coding potential</t>
  </si>
  <si>
    <t>RNAcode</t>
  </si>
  <si>
    <t>Coding signals in zoonomia MSA  (e.g. syonymous mutations, frame-preserving indels, ...)</t>
  </si>
  <si>
    <t xml:space="preserve">RNAcode </t>
  </si>
  <si>
    <t>Multiple sequence alignment</t>
  </si>
  <si>
    <t xml:space="preserve">Fickett score </t>
  </si>
  <si>
    <t>Fickett score</t>
  </si>
  <si>
    <t>Fickett</t>
  </si>
  <si>
    <t xml:space="preserve">Coding potential based on nucleotide composition and codon usage bias </t>
  </si>
  <si>
    <t>CPC2 beta</t>
  </si>
  <si>
    <t>RNA structure:</t>
  </si>
  <si>
    <t>Covariance Max</t>
  </si>
  <si>
    <t>Covariance max</t>
  </si>
  <si>
    <t>Covariance</t>
  </si>
  <si>
    <t>Maximum pairwise covariance using zoonomia MSA</t>
  </si>
  <si>
    <t>R-scape</t>
  </si>
  <si>
    <t>Secondary Structure MFE</t>
  </si>
  <si>
    <t>Secondary structure MFE</t>
  </si>
  <si>
    <t>MFE</t>
  </si>
  <si>
    <t>Minimum Free Energy for secondary structure from single sequence</t>
  </si>
  <si>
    <t>RNAfold</t>
  </si>
  <si>
    <t>RNA:RNA interactions:</t>
  </si>
  <si>
    <t>Interaction Energy Avg</t>
  </si>
  <si>
    <t>RNA-RNA interactions</t>
  </si>
  <si>
    <t>Interactions</t>
  </si>
  <si>
    <t>Average free energy of interaction between control sequences and a curated database of 34  human ncRNA sequences (RNAcentral)</t>
  </si>
  <si>
    <t>RNAup</t>
  </si>
  <si>
    <t>curated interaction dataset</t>
  </si>
  <si>
    <t xml:space="preserve">Population variation </t>
  </si>
  <si>
    <t>gnomAD SNP Density</t>
  </si>
  <si>
    <t>SNP density</t>
  </si>
  <si>
    <t>SNPs</t>
  </si>
  <si>
    <t>SNP Density from Genome Aggregation Database v4</t>
  </si>
  <si>
    <t>vcftools</t>
  </si>
  <si>
    <t>SNP data from Genome Aggregation Database (V4)</t>
  </si>
  <si>
    <t>gnomAD Average MAF</t>
  </si>
  <si>
    <t>Minor allele frequency average</t>
  </si>
  <si>
    <t>MAF</t>
  </si>
  <si>
    <t>Average minor allele frequency observed across all gnomAD SNPs</t>
  </si>
  <si>
    <t>Histone and DNA modifications</t>
  </si>
  <si>
    <t>Histone marks</t>
  </si>
  <si>
    <t>H3K79me2, H3K79me1, H3K9ac</t>
  </si>
  <si>
    <t>Highest scaled signal value across ~ 110 tissues, 91 cell-line, 33 in vitro differentiated cells and 76 primary cell lines (Max i (maxj( sj*overlap j /Lj))</t>
  </si>
  <si>
    <t>Link for ENCODE narrow peak bed files</t>
  </si>
  <si>
    <t>Chromatin Accessibility (Chrom. Acc.)</t>
  </si>
  <si>
    <t>Chromatin Accessibility</t>
  </si>
  <si>
    <t>Chromatin</t>
  </si>
  <si>
    <t>Highest scaled signal value across ~ 110 tissues, 91 cell-line, 33 in vitro differentiated cells and 76 primary cell lines  (Max i (maxj( sj*overlap j /Lj))</t>
  </si>
  <si>
    <t>DNA methylation</t>
  </si>
  <si>
    <t>Methylome</t>
  </si>
  <si>
    <t>Average % of methylation at CpG sites across ~ 110 tissues, 91 cell-line, 33 in vitro differentiated cells and 76 primary cell lines</t>
  </si>
  <si>
    <t>Link for ENCODE Bedmethyl files</t>
  </si>
  <si>
    <t xml:space="preserve">Negative control </t>
  </si>
  <si>
    <t>Random Predictor</t>
  </si>
  <si>
    <t>Random</t>
  </si>
  <si>
    <t>A pseudorandom number between 0 and 32,767</t>
  </si>
  <si>
    <t xml:space="preserve"> $RANDOM internal Bash function</t>
  </si>
  <si>
    <t>A baseline, to determine if features perform as well or better than a random number.</t>
  </si>
  <si>
    <t xml:space="preserve">Inclusion criteria </t>
  </si>
  <si>
    <t>Have evidence of previous association with gene functionality</t>
  </si>
  <si>
    <t xml:space="preserve">Must be a genome-wide statistic </t>
  </si>
  <si>
    <t xml:space="preserve">Non-redundant </t>
  </si>
  <si>
    <t xml:space="preserve">Be unbiased towards known genes </t>
  </si>
  <si>
    <t>Readily accessible for the GRCh38</t>
  </si>
  <si>
    <t>Package must be reasonable up to date and installable</t>
  </si>
  <si>
    <t>Feature Name</t>
  </si>
  <si>
    <t>Reason for Removal</t>
  </si>
  <si>
    <t>Composition of dinucleotides, removed (AT, CT, TG,TT, CC,AC,TC,GG,GC,AG,AA,CA)</t>
  </si>
  <si>
    <t xml:space="preserve">Less informative and correlated to included dinucleotides </t>
  </si>
  <si>
    <t>Average read count across datasets</t>
  </si>
  <si>
    <t>Average number of counts across 12 RNAseq datasets</t>
  </si>
  <si>
    <t>Used small number of RNAseq datasets, may be biased by cancer cell lines.</t>
  </si>
  <si>
    <t>Avg RNAseq Counts</t>
  </si>
  <si>
    <t>Average number of counts divided by sequence length</t>
  </si>
  <si>
    <t>Max Read Depth</t>
  </si>
  <si>
    <t>Maximum read depth observed across 12 RNAseq datasets</t>
  </si>
  <si>
    <t xml:space="preserve">Avg GTEx Expression </t>
  </si>
  <si>
    <t>Average expression from Gtex transcription data</t>
  </si>
  <si>
    <t>bigBedSummary</t>
  </si>
  <si>
    <t>Not genome wide, biased towards known genes.</t>
  </si>
  <si>
    <t>Genomic copies (100%)</t>
  </si>
  <si>
    <t>Number of 100% sequence matches within human genome</t>
  </si>
  <si>
    <t>blastn</t>
  </si>
  <si>
    <t>Redundant with genome_copy_number.</t>
  </si>
  <si>
    <t>PhyloCSF</t>
  </si>
  <si>
    <t>Distinguished between coding and non-coding sequence</t>
  </si>
  <si>
    <t xml:space="preserve">Outperformed by RNAcode. Difficult to install. No significance evaluation. </t>
  </si>
  <si>
    <t>INDEL-free</t>
  </si>
  <si>
    <t>Used indels-purifying selection to identify functional DNA</t>
  </si>
  <si>
    <t>NA</t>
  </si>
  <si>
    <t>Not available for GRCh38.</t>
  </si>
  <si>
    <t>CPAT</t>
  </si>
  <si>
    <t>Difficult to install. Outperformed by RNAcode.</t>
  </si>
  <si>
    <t>CM-HMM bitscore</t>
  </si>
  <si>
    <t>CM-HMM score generated using Rfam data</t>
  </si>
  <si>
    <t>cmscan</t>
  </si>
  <si>
    <t>Only computable for sequences homologous to a Rfam family.</t>
  </si>
  <si>
    <t>Significant co-varying basepairs</t>
  </si>
  <si>
    <t>Number of significant co-varying base pairs</t>
  </si>
  <si>
    <t>Redundant with maximum covariance.</t>
  </si>
  <si>
    <t>Minimum Covariance</t>
  </si>
  <si>
    <t>Minimum pairwise covariance</t>
  </si>
  <si>
    <t>Not informative.</t>
  </si>
  <si>
    <t>Pairwise Covariance Sum</t>
  </si>
  <si>
    <t>Sum of pairwise covariance</t>
  </si>
  <si>
    <t>Significant covariance</t>
  </si>
  <si>
    <t>Presence/Absence of significant covariance</t>
  </si>
  <si>
    <t>RNAalifold Score</t>
  </si>
  <si>
    <t>Predicted MFE for multiple species predicted secondary structure</t>
  </si>
  <si>
    <t>RNAalifold</t>
  </si>
  <si>
    <t>Excluded due to many sequences with gaps on the MSA (tool limitation</t>
  </si>
  <si>
    <t>InterRNA Interactions</t>
  </si>
  <si>
    <t>Match to InterRNA Interactome Database</t>
  </si>
  <si>
    <t>Only applicable to known genes/RNA (ie: not a genome-wide feature).</t>
  </si>
  <si>
    <t>Accessibility</t>
  </si>
  <si>
    <t>Number of accessible sites available for base pairing, based on single sequence RNA structure models</t>
  </si>
  <si>
    <t>RNApfold</t>
  </si>
  <si>
    <t xml:space="preserve">Excluded as it is strongly correlated with MFE. </t>
  </si>
  <si>
    <t>SNP Count (dbSNP151)</t>
  </si>
  <si>
    <t>All SNPs in a ncRNA from the dbSNP151 database</t>
  </si>
  <si>
    <t>Redundant (1kGP) &amp; potentially biased to known genes.</t>
  </si>
  <si>
    <t>Average SNPs (dbSNP151)</t>
  </si>
  <si>
    <t>Average number of SNPs from the dbSNP151 database</t>
  </si>
  <si>
    <t>Transitions (1kGP)</t>
  </si>
  <si>
    <t>Number of transitions</t>
  </si>
  <si>
    <t>Captured by transition/transversion ratio.</t>
  </si>
  <si>
    <t>Transversions (1kGP)</t>
  </si>
  <si>
    <t>Number of transversion</t>
  </si>
  <si>
    <t>Fu and Li's F (1kGP)</t>
  </si>
  <si>
    <t>Fu and Li's F</t>
  </si>
  <si>
    <t>popgenome</t>
  </si>
  <si>
    <t>Redundant/Captured by Fu &amp; Li's D.</t>
  </si>
  <si>
    <t>Tajima's D (1kGP)</t>
  </si>
  <si>
    <t>Tajima's D from 1000 Genomes Project (Phase 3)</t>
  </si>
  <si>
    <t>Couldn't be calculated for gnomAD data.</t>
  </si>
  <si>
    <t>Fu and Li's D (1kGP)</t>
  </si>
  <si>
    <t>Fu and Li's D from 1000 Genomes Project (Phase 3)</t>
  </si>
  <si>
    <t>Transitions:Transversions  (1kGP)</t>
  </si>
  <si>
    <t>Ratio of transitions to transversion from 1000G SNPs</t>
  </si>
  <si>
    <t>Regulation</t>
  </si>
  <si>
    <t xml:space="preserve">CRE Presence </t>
  </si>
  <si>
    <t>Presence of Cis Regulatory Element from ENCODE data</t>
  </si>
  <si>
    <t>bigBedToBed</t>
  </si>
  <si>
    <t>Not informative. Mostly NAs produced in functional and negative control sequences. Not genome wide.</t>
  </si>
  <si>
    <t>Conservation</t>
  </si>
  <si>
    <t>PhastCons</t>
  </si>
  <si>
    <t>Evolutionary conservation measure (100way alignments)</t>
  </si>
  <si>
    <t>Redundant with phyloP.</t>
  </si>
  <si>
    <t>Chromatin Accessibility and DNA modifications</t>
  </si>
  <si>
    <t xml:space="preserve">Histone marks </t>
  </si>
  <si>
    <t>H2AFZ, H2BK15ac, H3K18ac, H3K27me3, H3K56ac, H3K9me2, H4K5ac, H2AK5ac, H2BK20ac, H3K9me3, 
H4K8ac, H2AK9ac, H2BK5ac, H3K23ac, H3K4ac,  H4K91ac, H2BK120ac, H3F3A, H3K23me2, H3K4me1, 
H4K12ac, H2BK12ac, H3K14ac, H3K27ac, H3K4me3, H3K9me1, H3K4me2, H3K36me3, H4K20me1</t>
  </si>
  <si>
    <t>Redundant with other histone marks. Less informative.</t>
  </si>
  <si>
    <t>mRNA</t>
  </si>
  <si>
    <t xml:space="preserve">sncRNA </t>
  </si>
  <si>
    <t>lncRNA</t>
  </si>
  <si>
    <t>Mean |KS D|</t>
  </si>
  <si>
    <t>3 Tissue RPKM</t>
  </si>
  <si>
    <t>3 Primary cell RPKM</t>
  </si>
  <si>
    <t>2 PhyloP-mammals</t>
  </si>
  <si>
    <t>2 PhyloP-vertebrates</t>
  </si>
  <si>
    <t>2 GERP-mammals</t>
  </si>
  <si>
    <t>8 H3K79me2</t>
  </si>
  <si>
    <t>6 Covariance</t>
  </si>
  <si>
    <t>4 Copies</t>
  </si>
  <si>
    <t>5 RNAcode</t>
  </si>
  <si>
    <t>8 H3K79me1</t>
  </si>
  <si>
    <t>8 H3K9ac</t>
  </si>
  <si>
    <t>2 GERP-vertebrates</t>
  </si>
  <si>
    <t>8 Chromatin Accessibility</t>
  </si>
  <si>
    <t>1 GC%</t>
  </si>
  <si>
    <t>1 CpG</t>
  </si>
  <si>
    <t>1 TA</t>
  </si>
  <si>
    <t>1 GA</t>
  </si>
  <si>
    <t>6 MFE</t>
  </si>
  <si>
    <t>6 Interactions</t>
  </si>
  <si>
    <t>8 Methylome</t>
  </si>
  <si>
    <t>4 Repeat free</t>
  </si>
  <si>
    <t>5 Fickett</t>
  </si>
  <si>
    <t>1 Low Complexity</t>
  </si>
  <si>
    <t>1 GT</t>
  </si>
  <si>
    <t>7 SNPs</t>
  </si>
  <si>
    <t>7 MAF</t>
  </si>
  <si>
    <t>0 Random</t>
  </si>
  <si>
    <t>Mean feature strength:</t>
  </si>
  <si>
    <r>
      <rPr>
        <rFont val="Arial"/>
        <b/>
        <color theme="1"/>
      </rPr>
      <t>Supplementary Table S3:</t>
    </r>
    <r>
      <rPr>
        <rFont val="Arial"/>
        <color theme="1"/>
      </rPr>
      <t xml:space="preserve"> Feature strengths based on signed Kolmogorov-Smirnov D statistics showing the degree of differences between the positive and negative gene regions. These are ranked by the mean absolute value across the mRNA, sncRNA and lncRNA datasets. </t>
    </r>
  </si>
  <si>
    <t>mRNA(+)  Z-scores</t>
  </si>
  <si>
    <t>mRNA(-) Z-scores</t>
  </si>
  <si>
    <t>Raw mRNA(-)</t>
  </si>
  <si>
    <t>N</t>
  </si>
  <si>
    <t>Min</t>
  </si>
  <si>
    <t>1st Qu</t>
  </si>
  <si>
    <t>Median</t>
  </si>
  <si>
    <t>Mean</t>
  </si>
  <si>
    <t>3rd Qu</t>
  </si>
  <si>
    <t>Max</t>
  </si>
  <si>
    <t>MAD</t>
  </si>
  <si>
    <t>CpG</t>
  </si>
  <si>
    <t>GA</t>
  </si>
  <si>
    <t>GT</t>
  </si>
  <si>
    <t>TA</t>
  </si>
  <si>
    <t xml:space="preserve">Primary cell RPKM </t>
  </si>
  <si>
    <t>Repeat Free</t>
  </si>
  <si>
    <t>H3K79me2</t>
  </si>
  <si>
    <t>H3K79me1</t>
  </si>
  <si>
    <t>H3K9ac</t>
  </si>
  <si>
    <t>sncRNA(+)  Z-scores</t>
  </si>
  <si>
    <t>sncRNA(-)  Z-scores</t>
  </si>
  <si>
    <t>Raw sncRNA(-)</t>
  </si>
  <si>
    <t>lncRNA(+)  Z-scores</t>
  </si>
  <si>
    <t>lncRNA(-)  Z-scores</t>
  </si>
  <si>
    <t>Raw lncRNA(-)</t>
  </si>
  <si>
    <r>
      <rPr>
        <rFont val="Arial"/>
        <b/>
        <color theme="1"/>
      </rPr>
      <t>Supplementary Table S4:</t>
    </r>
    <r>
      <rPr>
        <rFont val="Arial"/>
        <color theme="1"/>
      </rPr>
      <t xml:space="preserve"> Summary statistics of robust Z scores distribution for each feature, divided by each gene type comparing positive(+) and negative gene regions(-). Raw mRNA(-) median and MAD values are also displayed </t>
    </r>
  </si>
  <si>
    <t>sncRNA</t>
  </si>
  <si>
    <t>Ave. |Spearman coef|</t>
  </si>
  <si>
    <t xml:space="preserve">Range </t>
  </si>
  <si>
    <t xml:space="preserve">Including negative &amp; positive </t>
  </si>
  <si>
    <r>
      <rPr>
        <rFont val="Calibri"/>
        <b/>
        <color theme="1"/>
        <sz val="11.0"/>
      </rPr>
      <t xml:space="preserve">Supplementary Table S5: </t>
    </r>
    <r>
      <rPr>
        <rFont val="Calibri"/>
        <b val="0"/>
        <color theme="1"/>
        <sz val="11.0"/>
      </rPr>
      <t>Spearman correlation of functionality predictive features for each gene type. Features exhibiting an Ave. |Spearman coef| of 0.2 or higher were selected for display. Other correlations below this threshold have also been displayed to compare features with important correlations</t>
    </r>
  </si>
  <si>
    <t>Interaction dataset of highly conserved &amp; abundant RNAs</t>
  </si>
  <si>
    <t>RNAcentral ID</t>
  </si>
  <si>
    <t>sequence</t>
  </si>
  <si>
    <t>HGNC Name</t>
  </si>
  <si>
    <t>RNA type</t>
  </si>
  <si>
    <t>Min binding energy (kcal/mol)</t>
  </si>
  <si>
    <t>reference ID</t>
  </si>
  <si>
    <t>Interaction type</t>
  </si>
  <si>
    <t>URS0000233681_9606</t>
  </si>
  <si>
    <t>CCTTCGATAGCTCAGCTGGTAGAGCGGAGGACTGTAGATCCTTAGGTCGCTGGTTCAATTCCGGCTCGAAGGA</t>
  </si>
  <si>
    <t>TRY-GTTA7-1</t>
  </si>
  <si>
    <t>tRNA</t>
  </si>
  <si>
    <t>RNA5</t>
  </si>
  <si>
    <t>tRNA - snoRNA</t>
  </si>
  <si>
    <t>URS0000C8E9D4_9606</t>
  </si>
  <si>
    <t>GCCAAAATTGCTCAGTTGGGAGAGCGTTAGACTGAAGATCTAAAGGTCCCTGGTTCGATCCCGGGTTTCACCAGGTT</t>
  </si>
  <si>
    <t>TRF-GAA5-1</t>
  </si>
  <si>
    <t>URS000034AAC2_9606</t>
  </si>
  <si>
    <t>GCGTTGGTGGTATAGTGGTGAGCATAGCTGCCTTCCAAGCAGTTGACCCGGGTTCGATTCCCGGCCAACGCA</t>
  </si>
  <si>
    <t>TRG-TCC2</t>
  </si>
  <si>
    <t>RNA2</t>
  </si>
  <si>
    <t>tRNA - miRNA</t>
  </si>
  <si>
    <t>URS00003F07BD_9606</t>
  </si>
  <si>
    <t>AGCTTTGCGCAGTGGCAGTATCGTAGCCAATGAGGTCTATCCGAGGCGCGATTATTGCTAATTGAAAACTTTTCCCAATACCCCGCCGTGACGACTTGCAATATAGTCGGCACTGGCAATTTTTGACAGTCTCTACGGAGACTG</t>
  </si>
  <si>
    <t>RNU4-1</t>
  </si>
  <si>
    <t>snoRNA</t>
  </si>
  <si>
    <t>RNA1</t>
  </si>
  <si>
    <t>snoRNA - snoRNA</t>
  </si>
  <si>
    <t>URS0000103047_9606</t>
  </si>
  <si>
    <t>GGCTGGTCCGAAGGTAGTGAGTTATCTCAATTGATTGTTCACAGTCAGTTACAGATCGAACTCCTTGTTCTACTCTTTCCCCCCTTCTCACTACTGCACTTGACTAGTCTTTT</t>
  </si>
  <si>
    <t>RNY1</t>
  </si>
  <si>
    <t>Y RNA</t>
  </si>
  <si>
    <t>RNA4</t>
  </si>
  <si>
    <t>Y RNA - miRNA</t>
  </si>
  <si>
    <t>ID</t>
  </si>
  <si>
    <t>URS0000659172_9606</t>
  </si>
  <si>
    <t>GTCTCTGTGGCGCAATTGGTTAGCGCGTTCGGTTGTTAACCGTAAAGGTTGGTGGTTCGAGCCCACCCAGGAACG</t>
  </si>
  <si>
    <t>TRN-GTT25-1</t>
  </si>
  <si>
    <t>RNA6</t>
  </si>
  <si>
    <t>URS00008E3990_9606</t>
  </si>
  <si>
    <t>URS00005CF03F_9606</t>
  </si>
  <si>
    <t>GGCTGGTCCGAGTGCAGTGGTGTTTACAACTAATTGATCACAACCAGTTACAGATTTCTTTGTTCCTTCTCCACTCCCACTGCTTCACTTGACTAGCCTTTT</t>
  </si>
  <si>
    <t>RNY3</t>
  </si>
  <si>
    <t>URS00006ECF62_9606</t>
  </si>
  <si>
    <t>miRNA</t>
  </si>
  <si>
    <t>URS000013F331_9606</t>
  </si>
  <si>
    <t>ATAGGGCGGAGGGAAGCTCATCAGTGGGGCCACGAGCTGAGTGCGTCCTGTCACTCCACTCCCATGTCCCTTGGGAAGGTCTGAGACTAGGGCCAGAGGCGGCCCTAACAGGGCTCTCCCTGAGCTTCGGGGAGGTGAGTTCCCAGAGAACGGGGCTCCGCGCGAGGTCAGACTGGGCAGGAGATGCCGTGGACCCCGCCCTTCGGGGAGGGGCCCGGCGGATGCCTCCTTTGCCGGAGCTTGGAACAGACTCACGGCCAGCGAAGTGAGTTCAATGGCTGAGGTGAGGTACCCCGCAGGGGACCTCATAACCCAATTCAGACTACTCTCCTCCGCCCATT</t>
  </si>
  <si>
    <t>RPPH1</t>
  </si>
  <si>
    <t>RNase P</t>
  </si>
  <si>
    <t>RNA9</t>
  </si>
  <si>
    <t>RNase P - snoRNA</t>
  </si>
  <si>
    <t>RNA3</t>
  </si>
  <si>
    <t>URS000075B0C4_9606</t>
  </si>
  <si>
    <t>URS0000C8E9CE_9606</t>
  </si>
  <si>
    <t>TAAACAACCCAGATAGCTCAGTTGATAGAGCATCAGACTTTTAATCTGAGGGTCCAGGGTTCATGTCCCTGTTCCTTAA</t>
  </si>
  <si>
    <t>TRK-TTT14-1</t>
  </si>
  <si>
    <t>URS000069A81A_9606</t>
  </si>
  <si>
    <t>URS000047B05D_9606</t>
  </si>
  <si>
    <t>GGCTCCGTGGCTTAGCTGGTTAAAGCGCCTGTCTAGTAAACAGGAGATCCTGGGTTCGAATCCCAGCGGGGCCT</t>
  </si>
  <si>
    <t>TRT-AGT2-1</t>
  </si>
  <si>
    <t>URS000075BEB6_9606</t>
  </si>
  <si>
    <t>URS00006A14B6_9606</t>
  </si>
  <si>
    <t>GGGGGTATAGCTCAGTGGGTAGAGCATTTGACTGCAGATCAAGAGGTCCCCGGTTCAAATCCGGGTGCCCCCT</t>
  </si>
  <si>
    <t>TRC-GCA5-1</t>
  </si>
  <si>
    <t>URS0000633321_9606</t>
  </si>
  <si>
    <t>URS00006D74B2_9606</t>
  </si>
  <si>
    <t>TCCTCGTTAGTATAGTGGTGAGTGTCCCCGTCTGTCACGCGGGAGACCGGGGTTCGATTCCCCGACGGGGAG</t>
  </si>
  <si>
    <t>TRD-GTC3-1</t>
  </si>
  <si>
    <t>RNA7</t>
  </si>
  <si>
    <t>URS000075DF1C_9606</t>
  </si>
  <si>
    <t>URS00006BDF17_9606</t>
  </si>
  <si>
    <t>ATGGCCAGTTGGCAGAGTGATCAGAACACACATAACATTTATTGATGAAGTTTGCTACCTTGGGCTTATCCATTGCACTCTGGATGTGCTGACCCCTGCAATTTTCCACAAATGTGAGAAACTTGACTGCATAATTTATGGTAGTGGGAGGCTGCGTTTGCACTCTCCCC</t>
  </si>
  <si>
    <t>RNVU1-33</t>
  </si>
  <si>
    <t>snoRNA - miRNA</t>
  </si>
  <si>
    <t>RNA8</t>
  </si>
  <si>
    <t>URS0000ABD8D1_9606</t>
  </si>
  <si>
    <t>URS0000443498_9606</t>
  </si>
  <si>
    <t>GTGTTGTATGAAAGGAGAGAAGGTTAGCACTCCCCTTGACAAGGATGGAAGAGGCCCTCGGGCCTGACAACACGCATACGGTTAAGGCATTGCCACCTACTTCGTGGCATCTAACCATCGTTTTT</t>
  </si>
  <si>
    <t>RNU6ATAC</t>
  </si>
  <si>
    <t>URS000064F355_9606</t>
  </si>
  <si>
    <t>URS0000744456_9606</t>
  </si>
  <si>
    <t>GGCTCGTTGGTCTAGGGGTGTGGTTCTCGCTTAGGGCGGGAGACCCAAGAGGTCCCGGGTTCAAATCCCGGACGAGCCC</t>
  </si>
  <si>
    <t>TRP-AGG3-1</t>
  </si>
  <si>
    <r>
      <rPr>
        <rFont val="Arial"/>
        <b/>
        <color theme="1"/>
        <sz val="10.0"/>
      </rPr>
      <t xml:space="preserve">Supplementary Table S6b: </t>
    </r>
    <r>
      <rPr>
        <rFont val="Arial"/>
        <b val="0"/>
        <color theme="1"/>
        <sz val="10.0"/>
      </rPr>
      <t xml:space="preserve">sncRNA with lowest Interaction average energy from sncRNA dataset </t>
    </r>
  </si>
  <si>
    <t>URS000075BAAE_9606</t>
  </si>
  <si>
    <t>ATACTCTGGTTTCTCTTCAGATCGCATAAATCTTTCGCCTTTTACTAAAGATTTCCGTGGAGAGGAACAACTCTGAGTCTTAACCCAATTTTTTGAGGCCTTGCTTTGGCAAGGCTA</t>
  </si>
  <si>
    <t>RNU5A-1</t>
  </si>
  <si>
    <t>URS000065DEBF_9606</t>
  </si>
  <si>
    <t>GCCCTCTTAGTGCAGCTGGCAGCGCGTCAGTTTCATAATCTGAAAGTCCTGAGTTCAAGCCTCAGAGAGGGCA</t>
  </si>
  <si>
    <t>TRM-CAT7-1</t>
  </si>
  <si>
    <t>URS000075ADBA_9606</t>
  </si>
  <si>
    <t>AACCATCCTTTTCTTGGGGTTGCGCTACTGTCCAATGAGCGCATAGTGAGGGCAGTACTGCTAACGCCTGAACAACACACCCGCATCAACTAGAGCTTTTGCTTTATTTTGGTGCAATTTTTGGAAAAAT</t>
  </si>
  <si>
    <t>RNU4ATAC</t>
  </si>
  <si>
    <t>URS000007E37F_9606</t>
  </si>
  <si>
    <t>GTCTCTGTGGCGCAATGGACGAGCGCGCTGGACTTCTAATCCAGAGGTTCCGGGTTCGAGTCCCGGCAGAGATG</t>
  </si>
  <si>
    <t>TRR-TCT4-1</t>
  </si>
  <si>
    <t>URS000038803E_9606</t>
  </si>
  <si>
    <t>GGTTCCATAGTGTAGCGGTTATCACGTCTGCTTTACACGCAGAAGGTCCTGGGTTCGAGCCCCAGTGGAACCA</t>
  </si>
  <si>
    <t>TRV-TAC2-1</t>
  </si>
  <si>
    <t>URS000072E1AF_9606</t>
  </si>
  <si>
    <t>GGCCGGTTAGCTCAGTTGGTTAGAGCGTGGTGCTAATAACGCTAAGGTCGCGGGTTCGATCCCCGTACTGGCCA</t>
  </si>
  <si>
    <t>TRI-AAT6-1</t>
  </si>
  <si>
    <t>tRNA -snoRNA</t>
  </si>
  <si>
    <t>URS00003EE995_9606</t>
  </si>
  <si>
    <t>ATCGCTTCTCGGCCTTTTGGCTAAGATCAAGTGTAGTATCTGTTCTTATCAGTTTAATATCTGATACGTCCTCTATCCGAGGACAATATATTAAATGGATTTTTGGAGCAGGGAGATGGAATAGGAGCTTGCTCCGTCCACTCCACGCATCGACCTGGTATTGCAGTACCTCCAGGAACGGTGCACCC</t>
  </si>
  <si>
    <t>RNU2-1</t>
  </si>
  <si>
    <t>URS00000F9D45_9606</t>
  </si>
  <si>
    <t>GTCTACGGCCATACCACCCTGAACGCGCCCGATCTCGTCTGATCTCGGAAGCTAAGCAGGGTCGGGCCTGGTTAGTACTTGGATGGGAGACCGCCTGGGAATACCGGGTGCTGTAGGCTTT</t>
  </si>
  <si>
    <t>RNA5S1-8</t>
  </si>
  <si>
    <t>rRNA</t>
  </si>
  <si>
    <t>rRNA - miRNA</t>
  </si>
  <si>
    <t>URS0000639DBE_9606</t>
  </si>
  <si>
    <t>TCCCATATGGTCTAGCGGTTAGGATTCCTGGTTTTCACCCAGGTGGCCCGGGTTCGACTCCCGGTATGGGAA</t>
  </si>
  <si>
    <t>TRE-TTC1-1</t>
  </si>
  <si>
    <t>URS000035C796_9606</t>
  </si>
  <si>
    <t>GTGCTCGCTTCGGCAGCACATATACTAAAATTGGAACGATACAGAGAAGATTAGCATGGCCCCTGCGCAAGGATGACACGCAAATTCGTGAAGCGTTCCATATTTT</t>
  </si>
  <si>
    <t>RNU6-1</t>
  </si>
  <si>
    <t>URS0000733374_9606</t>
  </si>
  <si>
    <t>GGAGAGGCCTGGCCGAGTGGTTAAGGCGATGGACTGCTAATCCATTGTGCTCTGCACGCGTGGGTTCGAATCCCATCCTCGTCG</t>
  </si>
  <si>
    <t>TRS-GCT6-1</t>
  </si>
  <si>
    <t>URS0000735371_9606</t>
  </si>
  <si>
    <t>GTCAGGATGGCCGAGTGGTCTAAGGCGCCAGACTCAAGTTCTGGTCTCCGGATGGAGGCGTGGGTTCGAATCCCACTTCTGACA</t>
  </si>
  <si>
    <t>TRL-CAA4-1</t>
  </si>
  <si>
    <t>URS000074C9DF_9606</t>
  </si>
  <si>
    <t>GGTTCCATGGTGTAATGGTAAGCACCCTGGACTCTGAATCCAGCAACCAGAGTTCCAGTCTCAGCGTGGACCT</t>
  </si>
  <si>
    <t>TRQ-CTG12-1</t>
  </si>
  <si>
    <t>URS00001A72CE_9606</t>
  </si>
  <si>
    <t>GACCTCGTGGCGCAATGGTAGCGCGTCTGACTCCAGATCAGAAGGTTGCGTGTTCAAGTCACGTCGGGGTCA</t>
  </si>
  <si>
    <t>TRW-CCA2-1</t>
  </si>
  <si>
    <t>URS000000A142_9606</t>
  </si>
  <si>
    <t>AAAAAGGGCTTCTGTCGTGAGTGGCACACGTAGGGCAACTCGATTGCTCTGCGTGCGGAATCGACATCAAGAGATTTCGGAAGCATAATTTTTTGGTATTTGGGCAGCTGGTGATCGTTGGTCCCGGCGCCCTTT</t>
  </si>
  <si>
    <t>RNU11</t>
  </si>
  <si>
    <t>URS000067A424_9606</t>
  </si>
  <si>
    <t>GCCATGATCGTATAGTGGTTAGTACTCTGCGCTGTGGCCGCAGCAACCTCGGTTCGAATCCGAGTCACGGCA</t>
  </si>
  <si>
    <t>TRH-GTG1-1</t>
  </si>
  <si>
    <t>URS000075EF5D_9606</t>
  </si>
  <si>
    <t>TGCCTTAAACTTATGAGTAAGGAAAATAACGATTCGGGGTGACGCCCGAATCCTCACTGCTAATGTGAGACGAATTTTTGAGCGGGTAAAGGTCGCCCTCAAGGTGACCCGCCTACTTTGCGGGATGCCTGGGAGTTGCGATCTGCCCG</t>
  </si>
  <si>
    <t>RNU12</t>
  </si>
  <si>
    <t>URS00003D2CC9_9606</t>
  </si>
  <si>
    <t>GGGGGATTAGCTCAAATGGTAGAGCGCTCGCTTAGCATGCGAGAGGTAGCGGGATCGATGCCCGCATCCTCCA</t>
  </si>
  <si>
    <t>TRA-AGC8-1</t>
  </si>
  <si>
    <t>URS0000007D24_9606</t>
  </si>
  <si>
    <t>GGCTGGTCCGATGGTAGTGGGTTATCAGAACTTATTAACATTAGTGTCACTAAAGTTGGTATACAACCCCCCACTGCTAAATTTGACTGGCTTTTT</t>
  </si>
  <si>
    <t>RNY4</t>
  </si>
  <si>
    <r>
      <rPr>
        <rFont val="Arial"/>
        <b/>
        <sz val="10.0"/>
      </rPr>
      <t xml:space="preserve">Supplementary Table S6: </t>
    </r>
    <r>
      <rPr>
        <rFont val="Arial"/>
        <b val="0"/>
        <sz val="10.0"/>
      </rPr>
      <t xml:space="preserve">curated dataset of highly conserved &amp; abundant RNAs used to evaluate the RNA:RNA interaction of datasets. For complete fasta file interactions ncRNA dataset </t>
    </r>
    <r>
      <rPr>
        <rFont val="Arial"/>
        <b val="0"/>
        <color rgb="FF1155CC"/>
        <sz val="10.0"/>
        <u/>
      </rPr>
      <t>interaction database</t>
    </r>
    <r>
      <rPr>
        <rFont val="Arial"/>
        <b val="0"/>
        <sz val="10.0"/>
      </rPr>
      <t>.  Reference ID for Supplementary Table S6b. Small nucleolar (snoRNA); micro RNA (miRNA)</t>
    </r>
  </si>
  <si>
    <t>Chromosome</t>
  </si>
  <si>
    <t>Start</t>
  </si>
  <si>
    <t>End</t>
  </si>
  <si>
    <t xml:space="preserve">HGNC GeneID </t>
  </si>
  <si>
    <t>GeneName</t>
  </si>
  <si>
    <t>SNP_density</t>
  </si>
  <si>
    <t>rna_type</t>
  </si>
  <si>
    <t>Comment</t>
  </si>
  <si>
    <t>chr1</t>
  </si>
  <si>
    <t>HGNC:10215</t>
  </si>
  <si>
    <t>RNU5E-1</t>
  </si>
  <si>
    <t>snRNA</t>
  </si>
  <si>
    <t>HGNC:10214</t>
  </si>
  <si>
    <t>RNU5D-1</t>
  </si>
  <si>
    <t>chr17</t>
  </si>
  <si>
    <t>HGNC:32952</t>
  </si>
  <si>
    <t>SNORD118</t>
  </si>
  <si>
    <t>chr19</t>
  </si>
  <si>
    <t>HGNC:34317</t>
  </si>
  <si>
    <t>SNAR-B2</t>
  </si>
  <si>
    <t>snaR RNA</t>
  </si>
  <si>
    <t>HGNC:34604</t>
  </si>
  <si>
    <t>TRG-CCC5-1</t>
  </si>
  <si>
    <t>chr14</t>
  </si>
  <si>
    <t>HGNC:41664</t>
  </si>
  <si>
    <t xml:space="preserve">MIR4538 </t>
  </si>
  <si>
    <t>pre_miRNA</t>
  </si>
  <si>
    <t>Alternate Haplotype Sequence Alignments (chr14_KI270846v1_alt)</t>
  </si>
  <si>
    <t>HGNC:34322</t>
  </si>
  <si>
    <t>SNAR-C4</t>
  </si>
  <si>
    <t>HGNC:10216</t>
  </si>
  <si>
    <t>RNU5F-1</t>
  </si>
  <si>
    <t>HGNC:34684</t>
  </si>
  <si>
    <t>TRK-TTT3-2</t>
  </si>
  <si>
    <t>HGNC:12265</t>
  </si>
  <si>
    <t>TRE-TTC3-1</t>
  </si>
  <si>
    <t>HGNC:38580</t>
  </si>
  <si>
    <t>TRG1</t>
  </si>
  <si>
    <t>chr6</t>
  </si>
  <si>
    <t>HGNC:34963</t>
  </si>
  <si>
    <t>TRA-CGC5-1-001</t>
  </si>
  <si>
    <t>HGNC:35059</t>
  </si>
  <si>
    <t>tRNA-Gly-CCC-4-1</t>
  </si>
  <si>
    <t>HGNC:34952</t>
  </si>
  <si>
    <t>tRNA-Glu-CTC-1-2</t>
  </si>
  <si>
    <t>HGNC:35054</t>
  </si>
  <si>
    <t>tRNA-Ile-AAT-12-1</t>
  </si>
  <si>
    <t>HGNC:34948</t>
  </si>
  <si>
    <t>tRNA-Gly-GCC-2-4</t>
  </si>
  <si>
    <t>chr11</t>
  </si>
  <si>
    <t>HGNC:34578</t>
  </si>
  <si>
    <t>tRNA-Pro-AGG-2-4</t>
  </si>
  <si>
    <t>HGNC:35073</t>
  </si>
  <si>
    <t>TRG-CCC6-1</t>
  </si>
  <si>
    <t>chr12</t>
  </si>
  <si>
    <t>HGNC:34907</t>
  </si>
  <si>
    <t>TRA-TGC4-1</t>
  </si>
  <si>
    <t>chr16</t>
  </si>
  <si>
    <t>HGNC:34579</t>
  </si>
  <si>
    <t>TRP-AGG1-1</t>
  </si>
  <si>
    <t>HGNC:34681</t>
  </si>
  <si>
    <t>TRK-CTT3-1</t>
  </si>
  <si>
    <t>HGNC:38581</t>
  </si>
  <si>
    <t>tRNA-Glu-TTC-4-1</t>
  </si>
  <si>
    <t>HGNC:34866</t>
  </si>
  <si>
    <t>tRNA-Thr-CGT-5-1</t>
  </si>
  <si>
    <t>HGNC:12274</t>
  </si>
  <si>
    <t>TRG-TCC1-1</t>
  </si>
  <si>
    <t>chr8</t>
  </si>
  <si>
    <t>HGNC:32711</t>
  </si>
  <si>
    <t>SNORD13</t>
  </si>
  <si>
    <t>HGNC:34985</t>
  </si>
  <si>
    <t>tRNA-Val-CAC-3-1</t>
  </si>
  <si>
    <t>HGNC:34988</t>
  </si>
  <si>
    <t>tRNA-Thr-TGT-4-1</t>
  </si>
  <si>
    <t>HGNC:34544</t>
  </si>
  <si>
    <t>TRV-TAC1-1</t>
  </si>
  <si>
    <t>HGNC:34306</t>
  </si>
  <si>
    <t>SNAR-A1</t>
  </si>
  <si>
    <t>chr13</t>
  </si>
  <si>
    <t>HGNC:42808</t>
  </si>
  <si>
    <t>LINC00459</t>
  </si>
  <si>
    <t>HGNC:34852</t>
  </si>
  <si>
    <t>tRNA-Pro-TGG-1-1</t>
  </si>
  <si>
    <t>HGNC:19955</t>
  </si>
  <si>
    <t>FAM30A</t>
  </si>
  <si>
    <t>HGNC:34831</t>
  </si>
  <si>
    <t>tRNA-Gln-CTG-2-1</t>
  </si>
  <si>
    <t>HGNC:34730</t>
  </si>
  <si>
    <t>tRNA-Arg-CCT-3-1</t>
  </si>
  <si>
    <t>chr5</t>
  </si>
  <si>
    <t>HGNC:34543</t>
  </si>
  <si>
    <t>TRV</t>
  </si>
  <si>
    <t>HGNC:34699</t>
  </si>
  <si>
    <t>TRF-GAA1-4</t>
  </si>
  <si>
    <t>HGNC:12322</t>
  </si>
  <si>
    <t>tRNA-iMet-CAT-2-1</t>
  </si>
  <si>
    <t>HGNC:34321</t>
  </si>
  <si>
    <t>SNAR-C3</t>
  </si>
  <si>
    <t>HGNC:33253</t>
  </si>
  <si>
    <t>TRA-AGC11-1</t>
  </si>
  <si>
    <t>HGNC:34713</t>
  </si>
  <si>
    <t>TRL-TAG2-1</t>
  </si>
  <si>
    <t>HGNC:34789</t>
  </si>
  <si>
    <t>tRNA-Met-CAT-6-1</t>
  </si>
  <si>
    <t>HGNC:34779</t>
  </si>
  <si>
    <t>TRM-CAT3-2</t>
  </si>
  <si>
    <t>HGNC:34692</t>
  </si>
  <si>
    <t>tRNA-Leu-CAG-2-2</t>
  </si>
  <si>
    <t>HGNC:34914</t>
  </si>
  <si>
    <t>TRA-AGC1-1</t>
  </si>
  <si>
    <t>HGNC:34769</t>
  </si>
  <si>
    <t>tRNA-Gly-TCC-3-1</t>
  </si>
  <si>
    <t>HGNC:34772</t>
  </si>
  <si>
    <t>tRNA-Lys-CTT-5-1</t>
  </si>
  <si>
    <t>HGNC:34630</t>
  </si>
  <si>
    <t>tRNA-Ile-AAT-2-1</t>
  </si>
  <si>
    <t>HGNC:34592</t>
  </si>
  <si>
    <t>TRA-CGC4-1</t>
  </si>
  <si>
    <t>HGNC:34612</t>
  </si>
  <si>
    <t>TRK-TTT4-1</t>
  </si>
  <si>
    <t>HGNC:34328</t>
  </si>
  <si>
    <t>SNAR-G2</t>
  </si>
  <si>
    <t>HGNC:34688</t>
  </si>
  <si>
    <t>tRNA-Asn-GTT-1-1</t>
  </si>
  <si>
    <t>HGNC:34589</t>
  </si>
  <si>
    <t>TRE-TTC2-1</t>
  </si>
  <si>
    <t>HGNC:34591</t>
  </si>
  <si>
    <t>tRNA-Leu-TAG-3-1</t>
  </si>
  <si>
    <t>HGNC:35050</t>
  </si>
  <si>
    <t>Val-tRNA</t>
  </si>
  <si>
    <t>HGNC:34678</t>
  </si>
  <si>
    <t>TRA-AGC20-1</t>
  </si>
  <si>
    <t>HGNC:12332</t>
  </si>
  <si>
    <t>tRNA-Pro-TGG-3-3</t>
  </si>
  <si>
    <t>HGNC:34964</t>
  </si>
  <si>
    <t>tRNA-Arg-ACG-1-2</t>
  </si>
  <si>
    <t>HGNC:34697</t>
  </si>
  <si>
    <t>TRM-CAT2-1</t>
  </si>
  <si>
    <t>HGNC:34821</t>
  </si>
  <si>
    <t>tRNA-Thr-CGT-6-1</t>
  </si>
  <si>
    <t>HGNC:34606</t>
  </si>
  <si>
    <t>TRA-AGC5-1</t>
  </si>
  <si>
    <t>HGNC:34931</t>
  </si>
  <si>
    <t>tRNA-Val-CAC-2-1</t>
  </si>
  <si>
    <t>HGNC:34668</t>
  </si>
  <si>
    <t>tRNA-Lys-CTT-1-2</t>
  </si>
  <si>
    <t>HGNC:34961</t>
  </si>
  <si>
    <t>TRI-AAT4-1</t>
  </si>
  <si>
    <t>HGNC:34687</t>
  </si>
  <si>
    <t>tRNA-Lys-TTT-1-1</t>
  </si>
  <si>
    <t>HGNC:34605</t>
  </si>
  <si>
    <t>TRA-AGC4-1</t>
  </si>
  <si>
    <t>HGNC:34761</t>
  </si>
  <si>
    <t>tRNA-Lys-CTT-2-1</t>
  </si>
  <si>
    <t>HGNC:34715</t>
  </si>
  <si>
    <t>TRI-AAT5-1</t>
  </si>
  <si>
    <t>HGNC:34912</t>
  </si>
  <si>
    <t>tRNA-Thr-TGT-1-1</t>
  </si>
  <si>
    <t>HGNC:34770</t>
  </si>
  <si>
    <t>tRNA-Asp-GTC-1-1</t>
  </si>
  <si>
    <t>HGNC:34745</t>
  </si>
  <si>
    <t>tRNA-Lys-TTT-6-1</t>
  </si>
  <si>
    <t>HGNC:33255</t>
  </si>
  <si>
    <t>TRF-GAA2-1</t>
  </si>
  <si>
    <t>HGNC:34787</t>
  </si>
  <si>
    <t>TRP-TGG2-1</t>
  </si>
  <si>
    <t>HGNC:34826</t>
  </si>
  <si>
    <t>TRT-TGT5-1</t>
  </si>
  <si>
    <t>chr15</t>
  </si>
  <si>
    <t>HGNC:34827</t>
  </si>
  <si>
    <t>TRR-TCG1-1</t>
  </si>
  <si>
    <t>chr9</t>
  </si>
  <si>
    <t>HGNC:38904</t>
  </si>
  <si>
    <t>MIR3689A</t>
  </si>
  <si>
    <t>chr2</t>
  </si>
  <si>
    <t>HGNC:34580</t>
  </si>
  <si>
    <t>tRNA-Ala-CGC-3-1</t>
  </si>
  <si>
    <t>HGNC:34590</t>
  </si>
  <si>
    <t>TRE-TTC5-1</t>
  </si>
  <si>
    <t>HGNC:34573</t>
  </si>
  <si>
    <t>TRV-AAC5-1</t>
  </si>
  <si>
    <t>chr3</t>
  </si>
  <si>
    <t>HGNC:34664</t>
  </si>
  <si>
    <t>TRR-ACG2-3</t>
  </si>
  <si>
    <t>HGNC:34750</t>
  </si>
  <si>
    <t>TRT-AGT1-2</t>
  </si>
  <si>
    <t>HGNC:34626</t>
  </si>
  <si>
    <t>TRL-TAA4-1</t>
  </si>
  <si>
    <t>HGNC:34846</t>
  </si>
  <si>
    <t>tRNA-Ala-TGC-3-1</t>
  </si>
  <si>
    <t>chr10</t>
  </si>
  <si>
    <t>HGNC:56167</t>
  </si>
  <si>
    <t>SYT15-AS1</t>
  </si>
  <si>
    <t>HGNC:34939</t>
  </si>
  <si>
    <t>TRR-TCG3-1</t>
  </si>
  <si>
    <t>HGNC:34950</t>
  </si>
  <si>
    <t>TRS-AGA2-6</t>
  </si>
  <si>
    <t>HGNC:16292</t>
  </si>
  <si>
    <t>tRNA-Ser-TGA-2-1</t>
  </si>
  <si>
    <t>chr20</t>
  </si>
  <si>
    <t>HGNC:16159</t>
  </si>
  <si>
    <t>lnc-SLCO4A1-8</t>
  </si>
  <si>
    <t>HGNC:34812</t>
  </si>
  <si>
    <t>tRNA-Ile-AAT-1-1</t>
  </si>
  <si>
    <t>HGNC:34888</t>
  </si>
  <si>
    <t>tRNA-Gln-TTG-3-1</t>
  </si>
  <si>
    <t>HGNC:34777</t>
  </si>
  <si>
    <t>TRQ-CTG6-1</t>
  </si>
  <si>
    <t>HGNC:34900</t>
  </si>
  <si>
    <t>TRK-TTT7-1</t>
  </si>
  <si>
    <t>HGNC:34946</t>
  </si>
  <si>
    <t>TRT-TGT2-1</t>
  </si>
  <si>
    <t>HGNC:34791</t>
  </si>
  <si>
    <t>TRV-CAC1-5</t>
  </si>
  <si>
    <t>HGNC:34875</t>
  </si>
  <si>
    <t>tRNA-Ala-CGC-1-1</t>
  </si>
  <si>
    <t>HGNC:34574</t>
  </si>
  <si>
    <t>TRX-CAT1-5</t>
  </si>
  <si>
    <t>HGNC:34941</t>
  </si>
  <si>
    <t>tRNA-Val-CAC-1-3</t>
  </si>
  <si>
    <t>HGNC:34327</t>
  </si>
  <si>
    <t>SNAR-G1</t>
  </si>
  <si>
    <t>HGNC:12345</t>
  </si>
  <si>
    <t>tRNA-Arg-TCG-4-1</t>
  </si>
  <si>
    <t>chr7</t>
  </si>
  <si>
    <t>HGNC:34566</t>
  </si>
  <si>
    <t>TRC-GCA11-1</t>
  </si>
  <si>
    <t>HGNC:34981</t>
  </si>
  <si>
    <t>TRD-GTC2-8</t>
  </si>
  <si>
    <t>HGNC:34679</t>
  </si>
  <si>
    <t>TRA-AGC15-1</t>
  </si>
  <si>
    <t>HGNC:34559</t>
  </si>
  <si>
    <t>tRNA-Ser-GCT-2-1</t>
  </si>
  <si>
    <t>HGNC:16294</t>
  </si>
  <si>
    <t>tRNA-Ser</t>
  </si>
  <si>
    <t>HGNC:34270</t>
  </si>
  <si>
    <t>RNU6-9</t>
  </si>
  <si>
    <t>HGNC:34650</t>
  </si>
  <si>
    <t>TRC-GCA4-1</t>
  </si>
  <si>
    <t>HGNC:34895</t>
  </si>
  <si>
    <t>TRL-AAG2-4</t>
  </si>
  <si>
    <t>HGNC:12324</t>
  </si>
  <si>
    <t>TRN-GTT2-4</t>
  </si>
  <si>
    <t>HGNC:34969</t>
  </si>
  <si>
    <t>TRA-CGC2-1</t>
  </si>
  <si>
    <t>HGNC:54811</t>
  </si>
  <si>
    <t>RCCD1-AS1</t>
  </si>
  <si>
    <t>HGNC:34794</t>
  </si>
  <si>
    <t>TRG-CCC2-1</t>
  </si>
  <si>
    <t>HGNC:34700</t>
  </si>
  <si>
    <t>TRQ-TTG2-1</t>
  </si>
  <si>
    <t>HGNC:33247</t>
  </si>
  <si>
    <t>tRNA-Val-AAC-3-1</t>
  </si>
  <si>
    <t>HGNC:34676</t>
  </si>
  <si>
    <t>tRNA-Ala-TGC-2-1</t>
  </si>
  <si>
    <t>HGNC:33197</t>
  </si>
  <si>
    <t>tRNA-Asn-GTT-4-1</t>
  </si>
  <si>
    <t>HGNC:34600</t>
  </si>
  <si>
    <t>tRNA-Ser-CGA-2-1</t>
  </si>
  <si>
    <t>HGNC:34890</t>
  </si>
  <si>
    <t>tRNA-Asn-GTT-3-2</t>
  </si>
  <si>
    <t>chr21</t>
  </si>
  <si>
    <t>HGNC:52459</t>
  </si>
  <si>
    <t>LINC01671</t>
  </si>
  <si>
    <t>HGNC:34326</t>
  </si>
  <si>
    <t>SNAR-F</t>
  </si>
  <si>
    <t>HGNC:20484</t>
  </si>
  <si>
    <t>BLACE</t>
  </si>
  <si>
    <t>HGNC:34801</t>
  </si>
  <si>
    <t>tRNA-Lys-TTT-5-1</t>
  </si>
  <si>
    <t>HGNC:34744</t>
  </si>
  <si>
    <t>tRNA-Arg-CCT-2-1</t>
  </si>
  <si>
    <t>HGNC:34999</t>
  </si>
  <si>
    <r>
      <rPr>
        <rFont val="Arial"/>
        <b/>
        <color theme="1"/>
      </rPr>
      <t xml:space="preserve">Supplementary Table S7: </t>
    </r>
    <r>
      <rPr>
        <rFont val="Arial"/>
        <color theme="1"/>
      </rPr>
      <t>SNP denisty(SNP count/sequence length) classified by sncRNA type</t>
    </r>
  </si>
  <si>
    <t>rho</t>
  </si>
  <si>
    <t>p value</t>
  </si>
  <si>
    <t>Mean |rho|</t>
  </si>
  <si>
    <r>
      <rPr>
        <rFont val="Arial"/>
        <b/>
        <color theme="1"/>
      </rPr>
      <t>Supplementary Table S8:</t>
    </r>
    <r>
      <rPr>
        <rFont val="Arial"/>
        <color theme="1"/>
      </rPr>
      <t xml:space="preserve"> Spearman correlation between robust z-scores of negative control sequences for each gene type and feature analyzed. Spearman’s Rho was used to determine the significance of each correlation, which were corrected for multiple testing using a Benjamini-Hochberg correction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</si>
</sst>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0000"/>
    <numFmt numFmtId="166" formatCode="0.0000"/>
  </numFmts>
  <fonts count="34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color theme="1"/>
      <name val="Arial"/>
      <scheme val="minor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i/>
      <color theme="1"/>
      <name val="Arial"/>
    </font>
    <font>
      <b/>
      <color theme="1"/>
      <name val="Arial"/>
    </font>
    <font>
      <b/>
      <sz val="11.0"/>
      <color rgb="FF000000"/>
      <name val="Arial"/>
    </font>
    <font>
      <sz val="11.0"/>
      <color rgb="FF000000"/>
      <name val="Arial"/>
    </font>
    <font>
      <u/>
      <color rgb="FF660099"/>
      <name val="Arial"/>
    </font>
    <font>
      <color rgb="FF000000"/>
      <name val="Arial"/>
    </font>
    <font>
      <u/>
      <color rgb="FF1155CC"/>
      <name val="Arial"/>
    </font>
    <font>
      <u/>
      <color rgb="FF0000FF"/>
    </font>
    <font>
      <b/>
      <color theme="1"/>
      <name val="Arial"/>
      <scheme val="minor"/>
    </font>
    <font>
      <b/>
      <sz val="8.0"/>
      <color rgb="FF000000"/>
      <name val="&quot;Helvetica Neue&quot;"/>
    </font>
    <font/>
    <font>
      <b/>
      <sz val="8.0"/>
      <color theme="1"/>
      <name val="Helvetica Neue"/>
    </font>
    <font>
      <sz val="8.0"/>
      <color rgb="FF000000"/>
      <name val="&quot;Helvetica Neue&quot;"/>
    </font>
    <font>
      <sz val="8.0"/>
      <color rgb="FF000000"/>
      <name val="Helvetica Neue"/>
    </font>
    <font>
      <b/>
      <sz val="8.0"/>
      <color rgb="FF000000"/>
      <name val="&quot;\&quot;Helvetica Neue\&quot;&quot;"/>
    </font>
    <font>
      <sz val="8.0"/>
      <color rgb="FF000000"/>
      <name val="&quot;\&quot;Helvetica Neue\&quot;&quot;"/>
    </font>
    <font>
      <b/>
      <sz val="11.0"/>
      <color theme="1"/>
      <name val="Calibri"/>
    </font>
    <font>
      <sz val="11.0"/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>
      <sz val="11.0"/>
      <color rgb="FF0D0D0D"/>
      <name val="Arial"/>
    </font>
    <font>
      <b/>
      <u/>
      <sz val="10.0"/>
      <color rgb="FF0000FF"/>
      <name val="Arial"/>
    </font>
    <font>
      <sz val="9.0"/>
      <color rgb="FF000000"/>
      <name val="Arial"/>
    </font>
    <font>
      <b/>
      <sz val="9.0"/>
      <color rgb="FF000000"/>
      <name val="Arial"/>
    </font>
    <font>
      <sz val="8.0"/>
      <color rgb="FF000000"/>
      <name val="Arial"/>
    </font>
    <font>
      <sz val="10.0"/>
      <color theme="1"/>
      <name val="Helvetica Neue"/>
    </font>
    <font>
      <b/>
      <sz val="10.0"/>
      <color theme="1"/>
      <name val="Helvetica Neue"/>
    </font>
  </fonts>
  <fills count="290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78178"/>
        <bgColor rgb="FFE78178"/>
      </patternFill>
    </fill>
    <fill>
      <patternFill patternType="solid">
        <fgColor rgb="FFE98A82"/>
        <bgColor rgb="FFE98A82"/>
      </patternFill>
    </fill>
    <fill>
      <patternFill patternType="solid">
        <fgColor rgb="FFF5C8C4"/>
        <bgColor rgb="FFF5C8C4"/>
      </patternFill>
    </fill>
    <fill>
      <patternFill patternType="solid">
        <fgColor rgb="FFF56368"/>
        <bgColor rgb="FFF56368"/>
      </patternFill>
    </fill>
    <fill>
      <patternFill patternType="solid">
        <fgColor rgb="FFEB928B"/>
        <bgColor rgb="FFEB928B"/>
      </patternFill>
    </fill>
    <fill>
      <patternFill patternType="solid">
        <fgColor rgb="FFF46D73"/>
        <bgColor rgb="FFF46D73"/>
      </patternFill>
    </fill>
    <fill>
      <patternFill patternType="solid">
        <fgColor rgb="FFFFF2CC"/>
        <bgColor rgb="FFFFF2CC"/>
      </patternFill>
    </fill>
    <fill>
      <patternFill patternType="solid">
        <fgColor rgb="FFE77E75"/>
        <bgColor rgb="FFE77E75"/>
      </patternFill>
    </fill>
    <fill>
      <patternFill patternType="solid">
        <fgColor rgb="FFF5C6C3"/>
        <bgColor rgb="FFF5C6C3"/>
      </patternFill>
    </fill>
    <fill>
      <patternFill patternType="solid">
        <fgColor rgb="FFF8DBD8"/>
        <bgColor rgb="FFF8DBD8"/>
      </patternFill>
    </fill>
    <fill>
      <patternFill patternType="solid">
        <fgColor rgb="FFF09098"/>
        <bgColor rgb="FFF09098"/>
      </patternFill>
    </fill>
    <fill>
      <patternFill patternType="solid">
        <fgColor rgb="FFE78077"/>
        <bgColor rgb="FFE78077"/>
      </patternFill>
    </fill>
    <fill>
      <patternFill patternType="solid">
        <fgColor rgb="FFF6D0CC"/>
        <bgColor rgb="FFF6D0CC"/>
      </patternFill>
    </fill>
    <fill>
      <patternFill patternType="solid">
        <fgColor rgb="FFEF979F"/>
        <bgColor rgb="FFEF979F"/>
      </patternFill>
    </fill>
    <fill>
      <patternFill patternType="solid">
        <fgColor rgb="FFEC9891"/>
        <bgColor rgb="FFEC9891"/>
      </patternFill>
    </fill>
    <fill>
      <patternFill patternType="solid">
        <fgColor rgb="FFF5CAC6"/>
        <bgColor rgb="FFF5CAC6"/>
      </patternFill>
    </fill>
    <fill>
      <patternFill patternType="solid">
        <fgColor rgb="FFEEA2AB"/>
        <bgColor rgb="FFEEA2AB"/>
      </patternFill>
    </fill>
    <fill>
      <patternFill patternType="solid">
        <fgColor rgb="FFD9EAD3"/>
        <bgColor rgb="FFD9EAD3"/>
      </patternFill>
    </fill>
    <fill>
      <patternFill patternType="solid">
        <fgColor rgb="FFF1B4AF"/>
        <bgColor rgb="FFF1B4AF"/>
      </patternFill>
    </fill>
    <fill>
      <patternFill patternType="solid">
        <fgColor rgb="FFF8D9D6"/>
        <bgColor rgb="FFF8D9D6"/>
      </patternFill>
    </fill>
    <fill>
      <patternFill patternType="solid">
        <fgColor rgb="FFF7D3D0"/>
        <bgColor rgb="FFF7D3D0"/>
      </patternFill>
    </fill>
    <fill>
      <patternFill patternType="solid">
        <fgColor rgb="FFECB7C1"/>
        <bgColor rgb="FFECB7C1"/>
      </patternFill>
    </fill>
    <fill>
      <patternFill patternType="solid">
        <fgColor rgb="FFC9DAF8"/>
        <bgColor rgb="FFC9DAF8"/>
      </patternFill>
    </fill>
    <fill>
      <patternFill patternType="solid">
        <fgColor rgb="FFF4C5C1"/>
        <bgColor rgb="FFF4C5C1"/>
      </patternFill>
    </fill>
    <fill>
      <patternFill patternType="solid">
        <fgColor rgb="FFFCEFED"/>
        <bgColor rgb="FFFCEFED"/>
      </patternFill>
    </fill>
    <fill>
      <patternFill patternType="solid">
        <fgColor rgb="FFF9DCDA"/>
        <bgColor rgb="FFF9DCDA"/>
      </patternFill>
    </fill>
    <fill>
      <patternFill patternType="solid">
        <fgColor rgb="FFE0C8DE"/>
        <bgColor rgb="FFE0C8DE"/>
      </patternFill>
    </fill>
    <fill>
      <patternFill patternType="solid">
        <fgColor rgb="FFB6D7A8"/>
        <bgColor rgb="FFB6D7A8"/>
      </patternFill>
    </fill>
    <fill>
      <patternFill patternType="solid">
        <fgColor rgb="FFB2CBF5"/>
        <bgColor rgb="FFB2CBF5"/>
      </patternFill>
    </fill>
    <fill>
      <patternFill patternType="solid">
        <fgColor rgb="FFC7D9F7"/>
        <bgColor rgb="FFC7D9F7"/>
      </patternFill>
    </fill>
    <fill>
      <patternFill patternType="solid">
        <fgColor rgb="FFC5D8F7"/>
        <bgColor rgb="FFC5D8F7"/>
      </patternFill>
    </fill>
    <fill>
      <patternFill patternType="solid">
        <fgColor rgb="FFEBC4CF"/>
        <bgColor rgb="FFEBC4CF"/>
      </patternFill>
    </fill>
    <fill>
      <patternFill patternType="solid">
        <fgColor rgb="FFED9D96"/>
        <bgColor rgb="FFED9D96"/>
      </patternFill>
    </fill>
    <fill>
      <patternFill patternType="solid">
        <fgColor rgb="FFEBF2FC"/>
        <bgColor rgb="FFEBF2FC"/>
      </patternFill>
    </fill>
    <fill>
      <patternFill patternType="solid">
        <fgColor rgb="FFE5EDFB"/>
        <bgColor rgb="FFE5EDFB"/>
      </patternFill>
    </fill>
    <fill>
      <patternFill patternType="solid">
        <fgColor rgb="FFEAC8D3"/>
        <bgColor rgb="FFEAC8D3"/>
      </patternFill>
    </fill>
    <fill>
      <patternFill patternType="solid">
        <fgColor rgb="FFFAE1DF"/>
        <bgColor rgb="FFFAE1DF"/>
      </patternFill>
    </fill>
    <fill>
      <patternFill patternType="solid">
        <fgColor rgb="FFFAE4E2"/>
        <bgColor rgb="FFFAE4E2"/>
      </patternFill>
    </fill>
    <fill>
      <patternFill patternType="solid">
        <fgColor rgb="FFF6CDC9"/>
        <bgColor rgb="FFF6CDC9"/>
      </patternFill>
    </fill>
    <fill>
      <patternFill patternType="solid">
        <fgColor rgb="FFDDC5DE"/>
        <bgColor rgb="FFDDC5DE"/>
      </patternFill>
    </fill>
    <fill>
      <patternFill patternType="solid">
        <fgColor rgb="FFF3BFBA"/>
        <bgColor rgb="FFF3BFBA"/>
      </patternFill>
    </fill>
    <fill>
      <patternFill patternType="solid">
        <fgColor rgb="FFFAE2E0"/>
        <bgColor rgb="FFFAE2E0"/>
      </patternFill>
    </fill>
    <fill>
      <patternFill patternType="solid">
        <fgColor rgb="FFFCEDEC"/>
        <bgColor rgb="FFFCEDEC"/>
      </patternFill>
    </fill>
    <fill>
      <patternFill patternType="solid">
        <fgColor rgb="FFE3CBDD"/>
        <bgColor rgb="FFE3CBDD"/>
      </patternFill>
    </fill>
    <fill>
      <patternFill patternType="solid">
        <fgColor rgb="FFFCEBEA"/>
        <bgColor rgb="FFFCEBEA"/>
      </patternFill>
    </fill>
    <fill>
      <patternFill patternType="solid">
        <fgColor rgb="FFCDB7E1"/>
        <bgColor rgb="FFCDB7E1"/>
      </patternFill>
    </fill>
    <fill>
      <patternFill patternType="solid">
        <fgColor rgb="FF6D9EEB"/>
        <bgColor rgb="FF6D9EEB"/>
      </patternFill>
    </fill>
    <fill>
      <patternFill patternType="solid">
        <fgColor rgb="FFFBE8E7"/>
        <bgColor rgb="FFFBE8E7"/>
      </patternFill>
    </fill>
    <fill>
      <patternFill patternType="solid">
        <fgColor rgb="FFF7D1CE"/>
        <bgColor rgb="FFF7D1CE"/>
      </patternFill>
    </fill>
    <fill>
      <patternFill patternType="solid">
        <fgColor rgb="FFC4AFE2"/>
        <bgColor rgb="FFC4AFE2"/>
      </patternFill>
    </fill>
    <fill>
      <patternFill patternType="solid">
        <fgColor rgb="FFF9DEDB"/>
        <bgColor rgb="FFF9DEDB"/>
      </patternFill>
    </fill>
    <fill>
      <patternFill patternType="solid">
        <fgColor rgb="FFBEA9E3"/>
        <bgColor rgb="FFBEA9E3"/>
      </patternFill>
    </fill>
    <fill>
      <patternFill patternType="solid">
        <fgColor rgb="FFF6F9FD"/>
        <bgColor rgb="FFF6F9FD"/>
      </patternFill>
    </fill>
    <fill>
      <patternFill patternType="solid">
        <fgColor rgb="FFBFD4F6"/>
        <bgColor rgb="FFBFD4F6"/>
      </patternFill>
    </fill>
    <fill>
      <patternFill patternType="solid">
        <fgColor rgb="FFBBA7E4"/>
        <bgColor rgb="FFBBA7E4"/>
      </patternFill>
    </fill>
    <fill>
      <patternFill patternType="solid">
        <fgColor rgb="FFF0F5FD"/>
        <bgColor rgb="FFF0F5FD"/>
      </patternFill>
    </fill>
    <fill>
      <patternFill patternType="solid">
        <fgColor rgb="FFA5C3F3"/>
        <bgColor rgb="FFA5C3F3"/>
      </patternFill>
    </fill>
    <fill>
      <patternFill patternType="solid">
        <fgColor rgb="FFB4A1E4"/>
        <bgColor rgb="FFB4A1E4"/>
      </patternFill>
    </fill>
    <fill>
      <patternFill patternType="solid">
        <fgColor rgb="FFF6CECB"/>
        <bgColor rgb="FFF6CECB"/>
      </patternFill>
    </fill>
    <fill>
      <patternFill patternType="solid">
        <fgColor rgb="FFE3ECFB"/>
        <bgColor rgb="FFE3ECFB"/>
      </patternFill>
    </fill>
    <fill>
      <patternFill patternType="solid">
        <fgColor rgb="FFA896E6"/>
        <bgColor rgb="FFA896E6"/>
      </patternFill>
    </fill>
    <fill>
      <patternFill patternType="solid">
        <fgColor rgb="FF9282EA"/>
        <bgColor rgb="FF9282EA"/>
      </patternFill>
    </fill>
    <fill>
      <patternFill patternType="solid">
        <fgColor rgb="FFFBE5E4"/>
        <bgColor rgb="FFFBE5E4"/>
      </patternFill>
    </fill>
    <fill>
      <patternFill patternType="solid">
        <fgColor rgb="FFFBE7E5"/>
        <bgColor rgb="FFFBE7E5"/>
      </patternFill>
    </fill>
    <fill>
      <patternFill patternType="solid">
        <fgColor rgb="FF8F80EA"/>
        <bgColor rgb="FF8F80EA"/>
      </patternFill>
    </fill>
    <fill>
      <patternFill patternType="solid">
        <fgColor rgb="FFF7D4D1"/>
        <bgColor rgb="FFF7D4D1"/>
      </patternFill>
    </fill>
    <fill>
      <patternFill patternType="solid">
        <fgColor rgb="FFFDF2F1"/>
        <bgColor rgb="FFFDF2F1"/>
      </patternFill>
    </fill>
    <fill>
      <patternFill patternType="solid">
        <fgColor rgb="FFFDF3F2"/>
        <bgColor rgb="FFFDF3F2"/>
      </patternFill>
    </fill>
    <fill>
      <patternFill patternType="solid">
        <fgColor rgb="FF8C7DEA"/>
        <bgColor rgb="FF8C7DEA"/>
      </patternFill>
    </fill>
    <fill>
      <patternFill patternType="solid">
        <fgColor rgb="FFDCE8FA"/>
        <bgColor rgb="FFDCE8FA"/>
      </patternFill>
    </fill>
    <fill>
      <patternFill patternType="solid">
        <fgColor rgb="FF897AEB"/>
        <bgColor rgb="FF897AEB"/>
      </patternFill>
    </fill>
    <fill>
      <patternFill patternType="solid">
        <fgColor rgb="FFF2F6FD"/>
        <bgColor rgb="FFF2F6FD"/>
      </patternFill>
    </fill>
    <fill>
      <patternFill patternType="solid">
        <fgColor rgb="FFE1EBFB"/>
        <bgColor rgb="FFE1EBFB"/>
      </patternFill>
    </fill>
    <fill>
      <patternFill patternType="solid">
        <fgColor rgb="FF8375EC"/>
        <bgColor rgb="FF8375EC"/>
      </patternFill>
    </fill>
    <fill>
      <patternFill patternType="solid">
        <fgColor rgb="FFB4A7D6"/>
        <bgColor rgb="FFB4A7D6"/>
      </patternFill>
    </fill>
    <fill>
      <patternFill patternType="solid">
        <fgColor rgb="FFCEDEF8"/>
        <bgColor rgb="FFCEDEF8"/>
      </patternFill>
    </fill>
    <fill>
      <patternFill patternType="solid">
        <fgColor rgb="FFFBEAE8"/>
        <bgColor rgb="FFFBEAE8"/>
      </patternFill>
    </fill>
    <fill>
      <patternFill patternType="solid">
        <fgColor rgb="FFFEF8F7"/>
        <bgColor rgb="FFFEF8F7"/>
      </patternFill>
    </fill>
    <fill>
      <patternFill patternType="solid">
        <fgColor rgb="FFCBDCF8"/>
        <bgColor rgb="FFCBDCF8"/>
      </patternFill>
    </fill>
    <fill>
      <patternFill patternType="solid">
        <fgColor rgb="FF796CED"/>
        <bgColor rgb="FF796CED"/>
      </patternFill>
    </fill>
    <fill>
      <patternFill patternType="solid">
        <fgColor rgb="FF8E7CC3"/>
        <bgColor rgb="FF8E7CC3"/>
      </patternFill>
    </fill>
    <fill>
      <patternFill patternType="solid">
        <fgColor rgb="FFFFFCFC"/>
        <bgColor rgb="FFFFFCFC"/>
      </patternFill>
    </fill>
    <fill>
      <patternFill patternType="solid">
        <fgColor rgb="FFFFFBFB"/>
        <bgColor rgb="FFFFFBFB"/>
      </patternFill>
    </fill>
    <fill>
      <patternFill patternType="solid">
        <fgColor rgb="FF1513FC"/>
        <bgColor rgb="FF1513FC"/>
      </patternFill>
    </fill>
    <fill>
      <patternFill patternType="solid">
        <fgColor rgb="FFB0B3B2"/>
        <bgColor rgb="FFB0B3B2"/>
      </patternFill>
    </fill>
    <fill>
      <patternFill patternType="solid">
        <fgColor rgb="FFB7B7B7"/>
        <bgColor rgb="FFB7B7B7"/>
      </patternFill>
    </fill>
    <fill>
      <patternFill patternType="solid">
        <fgColor rgb="FFD4D4D4"/>
        <bgColor rgb="FFD4D4D4"/>
      </patternFill>
    </fill>
    <fill>
      <patternFill patternType="solid">
        <fgColor rgb="FFCD452A"/>
        <bgColor rgb="FFCD452A"/>
      </patternFill>
    </fill>
    <fill>
      <patternFill patternType="solid">
        <fgColor rgb="FFCC4125"/>
        <bgColor rgb="FFCC4125"/>
      </patternFill>
    </fill>
    <fill>
      <patternFill patternType="solid">
        <fgColor rgb="FFCD462C"/>
        <bgColor rgb="FFCD462C"/>
      </patternFill>
    </fill>
    <fill>
      <patternFill patternType="solid">
        <fgColor rgb="FFCD4429"/>
        <bgColor rgb="FFCD4429"/>
      </patternFill>
    </fill>
    <fill>
      <patternFill patternType="solid">
        <fgColor rgb="FFCD472D"/>
        <bgColor rgb="FFCD472D"/>
      </patternFill>
    </fill>
    <fill>
      <patternFill patternType="solid">
        <fgColor rgb="FFCD4930"/>
        <bgColor rgb="FFCD4930"/>
      </patternFill>
    </fill>
    <fill>
      <patternFill patternType="solid">
        <fgColor rgb="FFCD482E"/>
        <bgColor rgb="FFCD482E"/>
      </patternFill>
    </fill>
    <fill>
      <patternFill patternType="solid">
        <fgColor rgb="FFCD4C34"/>
        <bgColor rgb="FFCD4C34"/>
      </patternFill>
    </fill>
    <fill>
      <patternFill patternType="solid">
        <fgColor rgb="FFCD4A31"/>
        <bgColor rgb="FFCD4A31"/>
      </patternFill>
    </fill>
    <fill>
      <patternFill patternType="solid">
        <fgColor rgb="FFCD4B33"/>
        <bgColor rgb="FFCD4B33"/>
      </patternFill>
    </fill>
    <fill>
      <patternFill patternType="solid">
        <fgColor rgb="FF917FC4"/>
        <bgColor rgb="FF917FC4"/>
      </patternFill>
    </fill>
    <fill>
      <patternFill patternType="solid">
        <fgColor rgb="FF907FC4"/>
        <bgColor rgb="FF907FC4"/>
      </patternFill>
    </fill>
    <fill>
      <patternFill patternType="solid">
        <fgColor rgb="FF9888C8"/>
        <bgColor rgb="FF9888C8"/>
      </patternFill>
    </fill>
    <fill>
      <patternFill patternType="solid">
        <fgColor rgb="FFD06454"/>
        <bgColor rgb="FFD06454"/>
      </patternFill>
    </fill>
    <fill>
      <patternFill patternType="solid">
        <fgColor rgb="FF9382C5"/>
        <bgColor rgb="FF9382C5"/>
      </patternFill>
    </fill>
    <fill>
      <patternFill patternType="solid">
        <fgColor rgb="FFA091CC"/>
        <bgColor rgb="FFA091CC"/>
      </patternFill>
    </fill>
    <fill>
      <patternFill patternType="solid">
        <fgColor rgb="FFD06B5D"/>
        <bgColor rgb="FFD06B5D"/>
      </patternFill>
    </fill>
    <fill>
      <patternFill patternType="solid">
        <fgColor rgb="FF9F90CC"/>
        <bgColor rgb="FF9F90CC"/>
      </patternFill>
    </fill>
    <fill>
      <patternFill patternType="solid">
        <fgColor rgb="FFD06C5F"/>
        <bgColor rgb="FFD06C5F"/>
      </patternFill>
    </fill>
    <fill>
      <patternFill patternType="solid">
        <fgColor rgb="FF9685C7"/>
        <bgColor rgb="FF9685C7"/>
      </patternFill>
    </fill>
    <fill>
      <patternFill patternType="solid">
        <fgColor rgb="FF9584C6"/>
        <bgColor rgb="FF9584C6"/>
      </patternFill>
    </fill>
    <fill>
      <patternFill patternType="solid">
        <fgColor rgb="FFA89AD0"/>
        <bgColor rgb="FFA89AD0"/>
      </patternFill>
    </fill>
    <fill>
      <patternFill patternType="solid">
        <fgColor rgb="FFD1746A"/>
        <bgColor rgb="FFD1746A"/>
      </patternFill>
    </fill>
    <fill>
      <patternFill patternType="solid">
        <fgColor rgb="FF9C8CCA"/>
        <bgColor rgb="FF9C8CCA"/>
      </patternFill>
    </fill>
    <fill>
      <patternFill patternType="solid">
        <fgColor rgb="FFADA0D3"/>
        <bgColor rgb="FFADA0D3"/>
      </patternFill>
    </fill>
    <fill>
      <patternFill patternType="solid">
        <fgColor rgb="FFD1776E"/>
        <bgColor rgb="FFD1776E"/>
      </patternFill>
    </fill>
    <fill>
      <patternFill patternType="solid">
        <fgColor rgb="FFD17368"/>
        <bgColor rgb="FFD17368"/>
      </patternFill>
    </fill>
    <fill>
      <patternFill patternType="solid">
        <fgColor rgb="FFD06E61"/>
        <bgColor rgb="FFD06E61"/>
      </patternFill>
    </fill>
    <fill>
      <patternFill patternType="solid">
        <fgColor rgb="FFD27C74"/>
        <bgColor rgb="FFD27C74"/>
      </patternFill>
    </fill>
    <fill>
      <patternFill patternType="solid">
        <fgColor rgb="FFD38D8C"/>
        <bgColor rgb="FFD38D8C"/>
      </patternFill>
    </fill>
    <fill>
      <patternFill patternType="solid">
        <fgColor rgb="FFD27D76"/>
        <bgColor rgb="FFD27D76"/>
      </patternFill>
    </fill>
    <fill>
      <patternFill patternType="solid">
        <fgColor rgb="FFC16C70"/>
        <bgColor rgb="FFC16C70"/>
      </patternFill>
    </fill>
    <fill>
      <patternFill patternType="solid">
        <fgColor rgb="FFC36665"/>
        <bgColor rgb="FFC36665"/>
      </patternFill>
    </fill>
    <fill>
      <patternFill patternType="solid">
        <fgColor rgb="FFC26C6F"/>
        <bgColor rgb="FFC26C6F"/>
      </patternFill>
    </fill>
    <fill>
      <patternFill patternType="solid">
        <fgColor rgb="FFC26A6C"/>
        <bgColor rgb="FFC26A6C"/>
      </patternFill>
    </fill>
    <fill>
      <patternFill patternType="solid">
        <fgColor rgb="FFA394CD"/>
        <bgColor rgb="FFA394CD"/>
      </patternFill>
    </fill>
    <fill>
      <patternFill patternType="solid">
        <fgColor rgb="FFA496CE"/>
        <bgColor rgb="FFA496CE"/>
      </patternFill>
    </fill>
    <fill>
      <patternFill patternType="solid">
        <fgColor rgb="FFD38683"/>
        <bgColor rgb="FFD38683"/>
      </patternFill>
    </fill>
    <fill>
      <patternFill patternType="solid">
        <fgColor rgb="FFD27C75"/>
        <bgColor rgb="FFD27C75"/>
      </patternFill>
    </fill>
    <fill>
      <patternFill patternType="solid">
        <fgColor rgb="FFD17065"/>
        <bgColor rgb="FFD17065"/>
      </patternFill>
    </fill>
    <fill>
      <patternFill patternType="solid">
        <fgColor rgb="FFD27E77"/>
        <bgColor rgb="FFD27E77"/>
      </patternFill>
    </fill>
    <fill>
      <patternFill patternType="solid">
        <fgColor rgb="FFA697CF"/>
        <bgColor rgb="FFA697CF"/>
      </patternFill>
    </fill>
    <fill>
      <patternFill patternType="solid">
        <fgColor rgb="FF9887C8"/>
        <bgColor rgb="FF9887C8"/>
      </patternFill>
    </fill>
    <fill>
      <patternFill patternType="solid">
        <fgColor rgb="FF9483C6"/>
        <bgColor rgb="FF9483C6"/>
      </patternFill>
    </fill>
    <fill>
      <patternFill patternType="solid">
        <fgColor rgb="FFD17469"/>
        <bgColor rgb="FFD17469"/>
      </patternFill>
    </fill>
    <fill>
      <patternFill patternType="solid">
        <fgColor rgb="FFA294CD"/>
        <bgColor rgb="FFA294CD"/>
      </patternFill>
    </fill>
    <fill>
      <patternFill patternType="solid">
        <fgColor rgb="FFA090CC"/>
        <bgColor rgb="FFA090CC"/>
      </patternFill>
    </fill>
    <fill>
      <patternFill patternType="solid">
        <fgColor rgb="FFB5A8D6"/>
        <bgColor rgb="FFB5A8D6"/>
      </patternFill>
    </fill>
    <fill>
      <patternFill patternType="solid">
        <fgColor rgb="FFD38B89"/>
        <bgColor rgb="FFD38B89"/>
      </patternFill>
    </fill>
    <fill>
      <patternFill patternType="solid">
        <fgColor rgb="FFD49698"/>
        <bgColor rgb="FFD49698"/>
      </patternFill>
    </fill>
    <fill>
      <patternFill patternType="solid">
        <fgColor rgb="FFD8C3D5"/>
        <bgColor rgb="FFD8C3D5"/>
      </patternFill>
    </fill>
    <fill>
      <patternFill patternType="solid">
        <fgColor rgb="FFCE5641"/>
        <bgColor rgb="FFCE5641"/>
      </patternFill>
    </fill>
    <fill>
      <patternFill patternType="solid">
        <fgColor rgb="FFD4908F"/>
        <bgColor rgb="FFD4908F"/>
      </patternFill>
    </fill>
    <fill>
      <patternFill patternType="solid">
        <fgColor rgb="FFD59EA2"/>
        <bgColor rgb="FFD59EA2"/>
      </patternFill>
    </fill>
    <fill>
      <patternFill patternType="solid">
        <fgColor rgb="FFD38884"/>
        <bgColor rgb="FFD38884"/>
      </patternFill>
    </fill>
    <fill>
      <patternFill patternType="solid">
        <fgColor rgb="FFD49A9E"/>
        <bgColor rgb="FFD49A9E"/>
      </patternFill>
    </fill>
    <fill>
      <patternFill patternType="solid">
        <fgColor rgb="FFD49597"/>
        <bgColor rgb="FFD49597"/>
      </patternFill>
    </fill>
    <fill>
      <patternFill patternType="solid">
        <fgColor rgb="FFBF757E"/>
        <bgColor rgb="FFBF757E"/>
      </patternFill>
    </fill>
    <fill>
      <patternFill patternType="solid">
        <fgColor rgb="FFBC8296"/>
        <bgColor rgb="FFBC8296"/>
      </patternFill>
    </fill>
    <fill>
      <patternFill patternType="solid">
        <fgColor rgb="FFBF7681"/>
        <bgColor rgb="FFBF7681"/>
      </patternFill>
    </fill>
    <fill>
      <patternFill patternType="solid">
        <fgColor rgb="FFBE7A87"/>
        <bgColor rgb="FFBE7A87"/>
      </patternFill>
    </fill>
    <fill>
      <patternFill patternType="solid">
        <fgColor rgb="FFBD8093"/>
        <bgColor rgb="FFBD8093"/>
      </patternFill>
    </fill>
    <fill>
      <patternFill patternType="solid">
        <fgColor rgb="FFC07179"/>
        <bgColor rgb="FFC07179"/>
      </patternFill>
    </fill>
    <fill>
      <patternFill patternType="solid">
        <fgColor rgb="FFBD7E8E"/>
        <bgColor rgb="FFBD7E8E"/>
      </patternFill>
    </fill>
    <fill>
      <patternFill patternType="solid">
        <fgColor rgb="FFBE7A88"/>
        <bgColor rgb="FFBE7A88"/>
      </patternFill>
    </fill>
    <fill>
      <patternFill patternType="solid">
        <fgColor rgb="FFBD8194"/>
        <bgColor rgb="FFBD8194"/>
      </patternFill>
    </fill>
    <fill>
      <patternFill patternType="solid">
        <fgColor rgb="FFBF7680"/>
        <bgColor rgb="FFBF7680"/>
      </patternFill>
    </fill>
    <fill>
      <patternFill patternType="solid">
        <fgColor rgb="FFBD7D8E"/>
        <bgColor rgb="FFBD7D8E"/>
      </patternFill>
    </fill>
    <fill>
      <patternFill patternType="solid">
        <fgColor rgb="FFBE7C8B"/>
        <bgColor rgb="FFBE7C8B"/>
      </patternFill>
    </fill>
    <fill>
      <patternFill patternType="solid">
        <fgColor rgb="FFD59CA0"/>
        <bgColor rgb="FFD59CA0"/>
      </patternFill>
    </fill>
    <fill>
      <patternFill patternType="solid">
        <fgColor rgb="FFD5A0A5"/>
        <bgColor rgb="FFD5A0A5"/>
      </patternFill>
    </fill>
    <fill>
      <patternFill patternType="solid">
        <fgColor rgb="FFD59DA2"/>
        <bgColor rgb="FFD59DA2"/>
      </patternFill>
    </fill>
    <fill>
      <patternFill patternType="solid">
        <fgColor rgb="FFBC8295"/>
        <bgColor rgb="FFBC8295"/>
      </patternFill>
    </fill>
    <fill>
      <patternFill patternType="solid">
        <fgColor rgb="FFBF7884"/>
        <bgColor rgb="FFBF7884"/>
      </patternFill>
    </fill>
    <fill>
      <patternFill patternType="solid">
        <fgColor rgb="FFBC8396"/>
        <bgColor rgb="FFBC8396"/>
      </patternFill>
    </fill>
    <fill>
      <patternFill patternType="solid">
        <fgColor rgb="FFBD7F90"/>
        <bgColor rgb="FFBD7F90"/>
      </patternFill>
    </fill>
    <fill>
      <patternFill patternType="solid">
        <fgColor rgb="FFB8ADD8"/>
        <bgColor rgb="FFB8ADD8"/>
      </patternFill>
    </fill>
    <fill>
      <patternFill patternType="solid">
        <fgColor rgb="FFA192CC"/>
        <bgColor rgb="FFA192CC"/>
      </patternFill>
    </fill>
    <fill>
      <patternFill patternType="solid">
        <fgColor rgb="FFD38E8D"/>
        <bgColor rgb="FFD38E8D"/>
      </patternFill>
    </fill>
    <fill>
      <patternFill patternType="solid">
        <fgColor rgb="FFBE7D8D"/>
        <bgColor rgb="FFBE7D8D"/>
      </patternFill>
    </fill>
    <fill>
      <patternFill patternType="solid">
        <fgColor rgb="FFBB879E"/>
        <bgColor rgb="FFBB879E"/>
      </patternFill>
    </fill>
    <fill>
      <patternFill patternType="solid">
        <fgColor rgb="FFBD7F91"/>
        <bgColor rgb="FFBD7F91"/>
      </patternFill>
    </fill>
    <fill>
      <patternFill patternType="solid">
        <fgColor rgb="FFBC8397"/>
        <bgColor rgb="FFBC8397"/>
      </patternFill>
    </fill>
    <fill>
      <patternFill patternType="solid">
        <fgColor rgb="FFBA8BA5"/>
        <bgColor rgb="FFBA8BA5"/>
      </patternFill>
    </fill>
    <fill>
      <patternFill patternType="solid">
        <fgColor rgb="FFBC8498"/>
        <bgColor rgb="FFBC8498"/>
      </patternFill>
    </fill>
    <fill>
      <patternFill patternType="solid">
        <fgColor rgb="FFBB88A0"/>
        <bgColor rgb="FFBB88A0"/>
      </patternFill>
    </fill>
    <fill>
      <patternFill patternType="solid">
        <fgColor rgb="FFBD7D8D"/>
        <bgColor rgb="FFBD7D8D"/>
      </patternFill>
    </fill>
    <fill>
      <patternFill patternType="solid">
        <fgColor rgb="FFBA8AA3"/>
        <bgColor rgb="FFBA8AA3"/>
      </patternFill>
    </fill>
    <fill>
      <patternFill patternType="solid">
        <fgColor rgb="FFCDBAD9"/>
        <bgColor rgb="FFCDBAD9"/>
      </patternFill>
    </fill>
    <fill>
      <patternFill patternType="solid">
        <fgColor rgb="FFC9B7D9"/>
        <bgColor rgb="FFC9B7D9"/>
      </patternFill>
    </fill>
    <fill>
      <patternFill patternType="solid">
        <fgColor rgb="FFCEBCD9"/>
        <bgColor rgb="FFCEBCD9"/>
      </patternFill>
    </fill>
    <fill>
      <patternFill patternType="solid">
        <fgColor rgb="FFC9B8D9"/>
        <bgColor rgb="FFC9B8D9"/>
      </patternFill>
    </fill>
    <fill>
      <patternFill patternType="solid">
        <fgColor rgb="FFD1BEDA"/>
        <bgColor rgb="FFD1BEDA"/>
      </patternFill>
    </fill>
    <fill>
      <patternFill patternType="solid">
        <fgColor rgb="FFC7B6D9"/>
        <bgColor rgb="FFC7B6D9"/>
      </patternFill>
    </fill>
    <fill>
      <patternFill patternType="solid">
        <fgColor rgb="FFBC859B"/>
        <bgColor rgb="FFBC859B"/>
      </patternFill>
    </fill>
    <fill>
      <patternFill patternType="solid">
        <fgColor rgb="FFBE7D8C"/>
        <bgColor rgb="FFBE7D8C"/>
      </patternFill>
    </fill>
    <fill>
      <patternFill patternType="solid">
        <fgColor rgb="FFBBB0DA"/>
        <bgColor rgb="FFBBB0DA"/>
      </patternFill>
    </fill>
    <fill>
      <patternFill patternType="solid">
        <fgColor rgb="FF9B8BCA"/>
        <bgColor rgb="FF9B8BCA"/>
      </patternFill>
    </fill>
    <fill>
      <patternFill patternType="solid">
        <fgColor rgb="FFCCBAD9"/>
        <bgColor rgb="FFCCBAD9"/>
      </patternFill>
    </fill>
    <fill>
      <patternFill patternType="solid">
        <fgColor rgb="FFC8B7D9"/>
        <bgColor rgb="FFC8B7D9"/>
      </patternFill>
    </fill>
    <fill>
      <patternFill patternType="solid">
        <fgColor rgb="FFBE7B88"/>
        <bgColor rgb="FFBE7B88"/>
      </patternFill>
    </fill>
    <fill>
      <patternFill patternType="solid">
        <fgColor rgb="FFBB879F"/>
        <bgColor rgb="FFBB879F"/>
      </patternFill>
    </fill>
    <fill>
      <patternFill patternType="solid">
        <fgColor rgb="FFBB8AA3"/>
        <bgColor rgb="FFBB8AA3"/>
      </patternFill>
    </fill>
    <fill>
      <patternFill patternType="solid">
        <fgColor rgb="FFBC8499"/>
        <bgColor rgb="FFBC8499"/>
      </patternFill>
    </fill>
    <fill>
      <patternFill patternType="solid">
        <fgColor rgb="FFD5A4AB"/>
        <bgColor rgb="FFD5A4AB"/>
      </patternFill>
    </fill>
    <fill>
      <patternFill patternType="solid">
        <fgColor rgb="FFD6A6AD"/>
        <bgColor rgb="FFD6A6AD"/>
      </patternFill>
    </fill>
    <fill>
      <patternFill patternType="solid">
        <fgColor rgb="FFD6ACB6"/>
        <bgColor rgb="FFD6ACB6"/>
      </patternFill>
    </fill>
    <fill>
      <patternFill patternType="solid">
        <fgColor rgb="FFD6A8AF"/>
        <bgColor rgb="FFD6A8AF"/>
      </patternFill>
    </fill>
    <fill>
      <patternFill patternType="solid">
        <fgColor rgb="FFBB869C"/>
        <bgColor rgb="FFBB869C"/>
      </patternFill>
    </fill>
    <fill>
      <patternFill patternType="solid">
        <fgColor rgb="FFBC8398"/>
        <bgColor rgb="FFBC8398"/>
      </patternFill>
    </fill>
    <fill>
      <patternFill patternType="solid">
        <fgColor rgb="FFBFB5DC"/>
        <bgColor rgb="FFBFB5DC"/>
      </patternFill>
    </fill>
    <fill>
      <patternFill patternType="solid">
        <fgColor rgb="FFA293CD"/>
        <bgColor rgb="FFA293CD"/>
      </patternFill>
    </fill>
    <fill>
      <patternFill patternType="solid">
        <fgColor rgb="FFA597CE"/>
        <bgColor rgb="FFA597CE"/>
      </patternFill>
    </fill>
    <fill>
      <patternFill patternType="solid">
        <fgColor rgb="FFBD8092"/>
        <bgColor rgb="FFBD8092"/>
      </patternFill>
    </fill>
    <fill>
      <patternFill patternType="solid">
        <fgColor rgb="FFB98EAB"/>
        <bgColor rgb="FFB98EAB"/>
      </patternFill>
    </fill>
    <fill>
      <patternFill patternType="solid">
        <fgColor rgb="FFBB869D"/>
        <bgColor rgb="FFBB869D"/>
      </patternFill>
    </fill>
    <fill>
      <patternFill patternType="solid">
        <fgColor rgb="FFBA8CA7"/>
        <bgColor rgb="FFBA8CA7"/>
      </patternFill>
    </fill>
    <fill>
      <patternFill patternType="solid">
        <fgColor rgb="FFD6AFBA"/>
        <bgColor rgb="FFD6AFBA"/>
      </patternFill>
    </fill>
    <fill>
      <patternFill patternType="solid">
        <fgColor rgb="FFD7B5C1"/>
        <bgColor rgb="FFD7B5C1"/>
      </patternFill>
    </fill>
    <fill>
      <patternFill patternType="solid">
        <fgColor rgb="FFD5A2A8"/>
        <bgColor rgb="FFD5A2A8"/>
      </patternFill>
    </fill>
    <fill>
      <patternFill patternType="solid">
        <fgColor rgb="FFD6ADB7"/>
        <bgColor rgb="FFD6ADB7"/>
      </patternFill>
    </fill>
    <fill>
      <patternFill patternType="solid">
        <fgColor rgb="FFCBB9D9"/>
        <bgColor rgb="FFCBB9D9"/>
      </patternFill>
    </fill>
    <fill>
      <patternFill patternType="solid">
        <fgColor rgb="FFC4B3D8"/>
        <bgColor rgb="FFC4B3D8"/>
      </patternFill>
    </fill>
    <fill>
      <patternFill patternType="solid">
        <fgColor rgb="FFD7C2DA"/>
        <bgColor rgb="FFD7C2DA"/>
      </patternFill>
    </fill>
    <fill>
      <patternFill patternType="solid">
        <fgColor rgb="FFB895B7"/>
        <bgColor rgb="FFB895B7"/>
      </patternFill>
    </fill>
    <fill>
      <patternFill patternType="solid">
        <fgColor rgb="FFD7B1BC"/>
        <bgColor rgb="FFD7B1BC"/>
      </patternFill>
    </fill>
    <fill>
      <patternFill patternType="solid">
        <fgColor rgb="FFD7BCCB"/>
        <bgColor rgb="FFD7BCCB"/>
      </patternFill>
    </fill>
    <fill>
      <patternFill patternType="solid">
        <fgColor rgb="FFC8B6D9"/>
        <bgColor rgb="FFC8B6D9"/>
      </patternFill>
    </fill>
    <fill>
      <patternFill patternType="solid">
        <fgColor rgb="FFD6ABB5"/>
        <bgColor rgb="FFD6ABB5"/>
      </patternFill>
    </fill>
    <fill>
      <patternFill patternType="solid">
        <fgColor rgb="FFD8C1D2"/>
        <bgColor rgb="FFD8C1D2"/>
      </patternFill>
    </fill>
    <fill>
      <patternFill patternType="solid">
        <fgColor rgb="FFD6A6AE"/>
        <bgColor rgb="FFD6A6AE"/>
      </patternFill>
    </fill>
    <fill>
      <patternFill patternType="solid">
        <fgColor rgb="FFD6B1BC"/>
        <bgColor rgb="FFD6B1BC"/>
      </patternFill>
    </fill>
    <fill>
      <patternFill patternType="solid">
        <fgColor rgb="FFBB879D"/>
        <bgColor rgb="FFBB879D"/>
      </patternFill>
    </fill>
    <fill>
      <patternFill patternType="solid">
        <fgColor rgb="FFB894B5"/>
        <bgColor rgb="FFB894B5"/>
      </patternFill>
    </fill>
    <fill>
      <patternFill patternType="solid">
        <fgColor rgb="FFBA8DA9"/>
        <bgColor rgb="FFBA8DA9"/>
      </patternFill>
    </fill>
    <fill>
      <patternFill patternType="solid">
        <fgColor rgb="FFBA8BA6"/>
        <bgColor rgb="FFBA8BA6"/>
      </patternFill>
    </fill>
    <fill>
      <patternFill patternType="solid">
        <fgColor rgb="FFBA8AA4"/>
        <bgColor rgb="FFBA8AA4"/>
      </patternFill>
    </fill>
    <fill>
      <patternFill patternType="solid">
        <fgColor rgb="FFBB89A1"/>
        <bgColor rgb="FFBB89A1"/>
      </patternFill>
    </fill>
    <fill>
      <patternFill patternType="solid">
        <fgColor rgb="FFBA8EAA"/>
        <bgColor rgb="FFBA8EAA"/>
      </patternFill>
    </fill>
    <fill>
      <patternFill patternType="solid">
        <fgColor rgb="FFB896B8"/>
        <bgColor rgb="FFB896B8"/>
      </patternFill>
    </fill>
    <fill>
      <patternFill patternType="solid">
        <fgColor rgb="FFBA8CA6"/>
        <bgColor rgb="FFBA8CA6"/>
      </patternFill>
    </fill>
    <fill>
      <patternFill patternType="solid">
        <fgColor rgb="FFBEB4DB"/>
        <bgColor rgb="FFBEB4DB"/>
      </patternFill>
    </fill>
    <fill>
      <patternFill patternType="solid">
        <fgColor rgb="FFB8ACD8"/>
        <bgColor rgb="FFB8ACD8"/>
      </patternFill>
    </fill>
    <fill>
      <patternFill patternType="solid">
        <fgColor rgb="FFD7B4C0"/>
        <bgColor rgb="FFD7B4C0"/>
      </patternFill>
    </fill>
    <fill>
      <patternFill patternType="solid">
        <fgColor rgb="FFC6B5D8"/>
        <bgColor rgb="FFC6B5D8"/>
      </patternFill>
    </fill>
    <fill>
      <patternFill patternType="solid">
        <fgColor rgb="FFC4B4D8"/>
        <bgColor rgb="FFC4B4D8"/>
      </patternFill>
    </fill>
    <fill>
      <patternFill patternType="solid">
        <fgColor rgb="FFCEBBD9"/>
        <bgColor rgb="FFCEBBD9"/>
      </patternFill>
    </fill>
    <fill>
      <patternFill patternType="solid">
        <fgColor rgb="FFC3B3D8"/>
        <bgColor rgb="FFC3B3D8"/>
      </patternFill>
    </fill>
    <fill>
      <patternFill patternType="solid">
        <fgColor rgb="FFB799BD"/>
        <bgColor rgb="FFB799BD"/>
      </patternFill>
    </fill>
    <fill>
      <patternFill patternType="solid">
        <fgColor rgb="FFC1B1D8"/>
        <bgColor rgb="FFC1B1D8"/>
      </patternFill>
    </fill>
    <fill>
      <patternFill patternType="solid">
        <fgColor rgb="FFBA8CA8"/>
        <bgColor rgb="FFBA8CA8"/>
      </patternFill>
    </fill>
    <fill>
      <patternFill patternType="solid">
        <fgColor rgb="FFD6B0BB"/>
        <bgColor rgb="FFD6B0BB"/>
      </patternFill>
    </fill>
    <fill>
      <patternFill patternType="solid">
        <fgColor rgb="FFD8BECD"/>
        <bgColor rgb="FFD8BECD"/>
      </patternFill>
    </fill>
    <fill>
      <patternFill patternType="solid">
        <fgColor rgb="FFBDB1DA"/>
        <bgColor rgb="FFBDB1DA"/>
      </patternFill>
    </fill>
    <fill>
      <patternFill patternType="solid">
        <fgColor rgb="FFBAAFD9"/>
        <bgColor rgb="FFBAAFD9"/>
      </patternFill>
    </fill>
    <fill>
      <patternFill patternType="solid">
        <fgColor rgb="FFC1B6DD"/>
        <bgColor rgb="FFC1B6DD"/>
      </patternFill>
    </fill>
    <fill>
      <patternFill patternType="solid">
        <fgColor rgb="FFD7B5C2"/>
        <bgColor rgb="FFD7B5C2"/>
      </patternFill>
    </fill>
    <fill>
      <patternFill patternType="solid">
        <fgColor rgb="FFB896B9"/>
        <bgColor rgb="FFB896B9"/>
      </patternFill>
    </fill>
    <fill>
      <patternFill patternType="solid">
        <fgColor rgb="FFBA8DA8"/>
        <bgColor rgb="FFBA8DA8"/>
      </patternFill>
    </fill>
    <fill>
      <patternFill patternType="solid">
        <fgColor rgb="FFD7B9C7"/>
        <bgColor rgb="FFD7B9C7"/>
      </patternFill>
    </fill>
    <fill>
      <patternFill patternType="solid">
        <fgColor rgb="FFD8C6D8"/>
        <bgColor rgb="FFD8C6D8"/>
      </patternFill>
    </fill>
    <fill>
      <patternFill patternType="solid">
        <fgColor rgb="FFD7B6C3"/>
        <bgColor rgb="FFD7B6C3"/>
      </patternFill>
    </fill>
    <fill>
      <patternFill patternType="solid">
        <fgColor rgb="FFB893B3"/>
        <bgColor rgb="FFB893B3"/>
      </patternFill>
    </fill>
    <fill>
      <patternFill patternType="solid">
        <fgColor rgb="FFD7B9C8"/>
        <bgColor rgb="FFD7B9C8"/>
      </patternFill>
    </fill>
    <fill>
      <patternFill patternType="solid">
        <fgColor rgb="FFD6AAB3"/>
        <bgColor rgb="FFD6AAB3"/>
      </patternFill>
    </fill>
    <fill>
      <patternFill patternType="solid">
        <fgColor rgb="FFD8C0D0"/>
        <bgColor rgb="FFD8C0D0"/>
      </patternFill>
    </fill>
    <fill>
      <patternFill patternType="solid">
        <fgColor rgb="FFD3C0DA"/>
        <bgColor rgb="FFD3C0DA"/>
      </patternFill>
    </fill>
    <fill>
      <patternFill patternType="solid">
        <fgColor rgb="FFBC8195"/>
        <bgColor rgb="FFBC8195"/>
      </patternFill>
    </fill>
    <fill>
      <patternFill patternType="solid">
        <fgColor rgb="FFB98EAA"/>
        <bgColor rgb="FFB98EAA"/>
      </patternFill>
    </fill>
    <fill>
      <patternFill patternType="solid">
        <fgColor rgb="FFB5A0C9"/>
        <bgColor rgb="FFB5A0C9"/>
      </patternFill>
    </fill>
    <fill>
      <patternFill patternType="solid">
        <fgColor rgb="FFB990AD"/>
        <bgColor rgb="FFB990AD"/>
      </patternFill>
    </fill>
    <fill>
      <patternFill patternType="solid">
        <fgColor rgb="FFB990AE"/>
        <bgColor rgb="FFB990AE"/>
      </patternFill>
    </fill>
    <fill>
      <patternFill patternType="solid">
        <fgColor rgb="FFB894B4"/>
        <bgColor rgb="FFB894B4"/>
      </patternFill>
    </fill>
    <fill>
      <patternFill patternType="solid">
        <fgColor rgb="FFB69BC0"/>
        <bgColor rgb="FFB69BC0"/>
      </patternFill>
    </fill>
    <fill>
      <patternFill patternType="solid">
        <fgColor rgb="FFB4A3CF"/>
        <bgColor rgb="FFB4A3CF"/>
      </patternFill>
    </fill>
    <fill>
      <patternFill patternType="solid">
        <fgColor rgb="FFB797BB"/>
        <bgColor rgb="FFB797BB"/>
      </patternFill>
    </fill>
    <fill>
      <patternFill patternType="solid">
        <fgColor rgb="FFB69DC3"/>
        <bgColor rgb="FFB69DC3"/>
      </patternFill>
    </fill>
    <fill>
      <patternFill patternType="solid">
        <fgColor rgb="FFB798BC"/>
        <bgColor rgb="FFB798BC"/>
      </patternFill>
    </fill>
    <fill>
      <patternFill patternType="solid">
        <fgColor rgb="FFB69DC4"/>
        <bgColor rgb="FFB69DC4"/>
      </patternFill>
    </fill>
    <fill>
      <patternFill patternType="solid">
        <fgColor rgb="FFB5A8D7"/>
        <bgColor rgb="FFB5A8D7"/>
      </patternFill>
    </fill>
    <fill>
      <patternFill patternType="solid">
        <fgColor rgb="FFB69EC7"/>
        <bgColor rgb="FFB69EC7"/>
      </patternFill>
    </fill>
    <fill>
      <patternFill patternType="solid">
        <fgColor rgb="FFC5B4D8"/>
        <bgColor rgb="FFC5B4D8"/>
      </patternFill>
    </fill>
    <fill>
      <patternFill patternType="solid">
        <fgColor rgb="FFBDAED7"/>
        <bgColor rgb="FFBDAED7"/>
      </patternFill>
    </fill>
    <fill>
      <patternFill patternType="solid">
        <fgColor rgb="FFB5A3CE"/>
        <bgColor rgb="FFB5A3CE"/>
      </patternFill>
    </fill>
    <fill>
      <patternFill patternType="solid">
        <fgColor rgb="FFB4A6D3"/>
        <bgColor rgb="FFB4A6D3"/>
      </patternFill>
    </fill>
    <fill>
      <patternFill patternType="solid">
        <fgColor rgb="FFBFB0D8"/>
        <bgColor rgb="FFBFB0D8"/>
      </patternFill>
    </fill>
    <fill>
      <patternFill patternType="solid">
        <fgColor rgb="FFB69CC3"/>
        <bgColor rgb="FFB69CC3"/>
      </patternFill>
    </fill>
    <fill>
      <patternFill patternType="solid">
        <fgColor rgb="FFB896B7"/>
        <bgColor rgb="FFB896B7"/>
      </patternFill>
    </fill>
    <fill>
      <patternFill patternType="solid">
        <fgColor rgb="FFB79ABF"/>
        <bgColor rgb="FFB79ABF"/>
      </patternFill>
    </fill>
    <fill>
      <patternFill patternType="solid">
        <fgColor rgb="FFB5A3CF"/>
        <bgColor rgb="FFB5A3CF"/>
      </patternFill>
    </fill>
    <fill>
      <patternFill patternType="solid">
        <fgColor rgb="FFB69DC5"/>
        <bgColor rgb="FFB69DC5"/>
      </patternFill>
    </fill>
    <fill>
      <patternFill patternType="solid">
        <fgColor rgb="FFB5A2CD"/>
        <bgColor rgb="FFB5A2CD"/>
      </patternFill>
    </fill>
    <fill>
      <patternFill patternType="solid">
        <fgColor rgb="FFB59FC8"/>
        <bgColor rgb="FFB59FC8"/>
      </patternFill>
    </fill>
    <fill>
      <patternFill patternType="solid">
        <fgColor rgb="FFB4A5D3"/>
        <bgColor rgb="FFB4A5D3"/>
      </patternFill>
    </fill>
    <fill>
      <patternFill patternType="solid">
        <fgColor rgb="FFB69EC5"/>
        <bgColor rgb="FFB69EC5"/>
      </patternFill>
    </fill>
    <fill>
      <patternFill patternType="solid">
        <fgColor rgb="FFB69EC6"/>
        <bgColor rgb="FFB69EC6"/>
      </patternFill>
    </fill>
    <fill>
      <patternFill patternType="solid">
        <fgColor rgb="FFB5A1CB"/>
        <bgColor rgb="FFB5A1CB"/>
      </patternFill>
    </fill>
    <fill>
      <patternFill patternType="solid">
        <fgColor rgb="FFEFEFEF"/>
        <bgColor rgb="FFEFEFEF"/>
      </patternFill>
    </fill>
  </fills>
  <borders count="3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Font="1"/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Font="1"/>
    <xf borderId="0" fillId="0" fontId="8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0" fillId="0" fontId="9" numFmtId="0" xfId="0" applyAlignment="1" applyFont="1">
      <alignment horizontal="left" readingOrder="0" shrinkToFit="0" wrapText="1"/>
    </xf>
    <xf borderId="3" fillId="0" fontId="2" numFmtId="0" xfId="0" applyAlignment="1" applyBorder="1" applyFont="1">
      <alignment readingOrder="0" vertical="bottom"/>
    </xf>
    <xf borderId="4" fillId="0" fontId="10" numFmtId="0" xfId="0" applyAlignment="1" applyBorder="1" applyFont="1">
      <alignment horizontal="left" readingOrder="0" shrinkToFit="0" wrapText="1"/>
    </xf>
    <xf borderId="0" fillId="0" fontId="10" numFmtId="0" xfId="0" applyAlignment="1" applyFont="1">
      <alignment horizontal="left" readingOrder="0" shrinkToFit="0" wrapText="1"/>
    </xf>
    <xf borderId="3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6" fillId="0" fontId="10" numFmtId="0" xfId="0" applyAlignment="1" applyBorder="1" applyFont="1">
      <alignment horizontal="left" readingOrder="0" shrinkToFit="0" wrapText="1"/>
    </xf>
    <xf borderId="0" fillId="3" fontId="2" numFmtId="0" xfId="0" applyAlignment="1" applyFill="1" applyFont="1">
      <alignment vertical="bottom"/>
    </xf>
    <xf borderId="0" fillId="3" fontId="11" numFmtId="0" xfId="0" applyAlignment="1" applyFont="1">
      <alignment vertical="bottom"/>
    </xf>
    <xf borderId="0" fillId="3" fontId="12" numFmtId="0" xfId="0" applyAlignment="1" applyFont="1">
      <alignment horizontal="left" readingOrder="0"/>
    </xf>
    <xf borderId="0" fillId="0" fontId="2" numFmtId="0" xfId="0" applyAlignment="1" applyFont="1">
      <alignment shrinkToFit="0" vertical="bottom" wrapText="0"/>
    </xf>
    <xf borderId="0" fillId="0" fontId="1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4" numFmtId="0" xfId="0" applyAlignment="1" applyFont="1">
      <alignment readingOrder="0"/>
    </xf>
    <xf borderId="7" fillId="0" fontId="8" numFmtId="0" xfId="0" applyAlignment="1" applyBorder="1" applyFont="1">
      <alignment vertical="bottom"/>
    </xf>
    <xf borderId="7" fillId="0" fontId="8" numFmtId="0" xfId="0" applyAlignment="1" applyBorder="1" applyFont="1">
      <alignment readingOrder="0" vertical="bottom"/>
    </xf>
    <xf borderId="7" fillId="4" fontId="8" numFmtId="0" xfId="0" applyAlignment="1" applyBorder="1" applyFill="1" applyFont="1">
      <alignment readingOrder="0" vertical="bottom"/>
    </xf>
    <xf borderId="7" fillId="5" fontId="2" numFmtId="0" xfId="0" applyAlignment="1" applyBorder="1" applyFill="1" applyFont="1">
      <alignment horizontal="right" vertical="bottom"/>
    </xf>
    <xf borderId="7" fillId="6" fontId="2" numFmtId="0" xfId="0" applyAlignment="1" applyBorder="1" applyFill="1" applyFont="1">
      <alignment horizontal="right" vertical="bottom"/>
    </xf>
    <xf borderId="7" fillId="7" fontId="2" numFmtId="0" xfId="0" applyAlignment="1" applyBorder="1" applyFill="1" applyFont="1">
      <alignment horizontal="right" vertical="bottom"/>
    </xf>
    <xf borderId="0" fillId="8" fontId="2" numFmtId="164" xfId="0" applyAlignment="1" applyFill="1" applyFont="1" applyNumberFormat="1">
      <alignment horizontal="right" vertical="bottom"/>
    </xf>
    <xf borderId="7" fillId="9" fontId="2" numFmtId="0" xfId="0" applyAlignment="1" applyBorder="1" applyFill="1" applyFont="1">
      <alignment horizontal="right" vertical="bottom"/>
    </xf>
    <xf borderId="0" fillId="10" fontId="2" numFmtId="164" xfId="0" applyAlignment="1" applyFill="1" applyFont="1" applyNumberFormat="1">
      <alignment horizontal="right" vertical="bottom"/>
    </xf>
    <xf borderId="7" fillId="11" fontId="8" numFmtId="0" xfId="0" applyAlignment="1" applyBorder="1" applyFill="1" applyFont="1">
      <alignment readingOrder="0" vertical="bottom"/>
    </xf>
    <xf borderId="7" fillId="12" fontId="2" numFmtId="0" xfId="0" applyAlignment="1" applyBorder="1" applyFill="1" applyFont="1">
      <alignment horizontal="right" vertical="bottom"/>
    </xf>
    <xf borderId="7" fillId="13" fontId="2" numFmtId="0" xfId="0" applyAlignment="1" applyBorder="1" applyFill="1" applyFont="1">
      <alignment horizontal="right" vertical="bottom"/>
    </xf>
    <xf borderId="7" fillId="14" fontId="2" numFmtId="0" xfId="0" applyAlignment="1" applyBorder="1" applyFill="1" applyFont="1">
      <alignment horizontal="right" vertical="bottom"/>
    </xf>
    <xf borderId="0" fillId="15" fontId="2" numFmtId="164" xfId="0" applyAlignment="1" applyFill="1" applyFont="1" applyNumberFormat="1">
      <alignment horizontal="right" vertical="bottom"/>
    </xf>
    <xf borderId="7" fillId="16" fontId="2" numFmtId="0" xfId="0" applyAlignment="1" applyBorder="1" applyFill="1" applyFont="1">
      <alignment horizontal="right" vertical="bottom"/>
    </xf>
    <xf borderId="7" fillId="17" fontId="2" numFmtId="0" xfId="0" applyAlignment="1" applyBorder="1" applyFill="1" applyFont="1">
      <alignment horizontal="right" vertical="bottom"/>
    </xf>
    <xf borderId="0" fillId="18" fontId="2" numFmtId="164" xfId="0" applyAlignment="1" applyFill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7" fillId="19" fontId="2" numFmtId="0" xfId="0" applyAlignment="1" applyBorder="1" applyFill="1" applyFont="1">
      <alignment horizontal="right" vertical="bottom"/>
    </xf>
    <xf borderId="7" fillId="20" fontId="2" numFmtId="0" xfId="0" applyAlignment="1" applyBorder="1" applyFill="1" applyFont="1">
      <alignment horizontal="right" vertical="bottom"/>
    </xf>
    <xf borderId="0" fillId="21" fontId="2" numFmtId="164" xfId="0" applyAlignment="1" applyFill="1" applyFont="1" applyNumberFormat="1">
      <alignment horizontal="right" vertical="bottom"/>
    </xf>
    <xf borderId="7" fillId="22" fontId="8" numFmtId="0" xfId="0" applyAlignment="1" applyBorder="1" applyFill="1" applyFont="1">
      <alignment vertical="bottom"/>
    </xf>
    <xf borderId="7" fillId="23" fontId="2" numFmtId="0" xfId="0" applyAlignment="1" applyBorder="1" applyFill="1" applyFont="1">
      <alignment horizontal="right" vertical="bottom"/>
    </xf>
    <xf borderId="7" fillId="24" fontId="2" numFmtId="0" xfId="0" applyAlignment="1" applyBorder="1" applyFill="1" applyFont="1">
      <alignment horizontal="right" vertical="bottom"/>
    </xf>
    <xf borderId="7" fillId="25" fontId="2" numFmtId="0" xfId="0" applyAlignment="1" applyBorder="1" applyFill="1" applyFont="1">
      <alignment horizontal="right" vertical="bottom"/>
    </xf>
    <xf borderId="0" fillId="26" fontId="2" numFmtId="164" xfId="0" applyAlignment="1" applyFill="1" applyFont="1" applyNumberFormat="1">
      <alignment horizontal="right" vertical="bottom"/>
    </xf>
    <xf borderId="7" fillId="27" fontId="8" numFmtId="0" xfId="0" applyAlignment="1" applyBorder="1" applyFill="1" applyFont="1">
      <alignment readingOrder="0" vertical="bottom"/>
    </xf>
    <xf borderId="7" fillId="28" fontId="2" numFmtId="0" xfId="0" applyAlignment="1" applyBorder="1" applyFill="1" applyFont="1">
      <alignment horizontal="right" readingOrder="0" vertical="bottom"/>
    </xf>
    <xf borderId="7" fillId="29" fontId="2" numFmtId="0" xfId="0" applyAlignment="1" applyBorder="1" applyFill="1" applyFont="1">
      <alignment horizontal="right" readingOrder="0" vertical="bottom"/>
    </xf>
    <xf borderId="7" fillId="30" fontId="2" numFmtId="0" xfId="0" applyAlignment="1" applyBorder="1" applyFill="1" applyFont="1">
      <alignment horizontal="right" readingOrder="0" vertical="bottom"/>
    </xf>
    <xf borderId="0" fillId="31" fontId="2" numFmtId="164" xfId="0" applyAlignment="1" applyFill="1" applyFont="1" applyNumberFormat="1">
      <alignment horizontal="right" vertical="bottom"/>
    </xf>
    <xf borderId="7" fillId="32" fontId="8" numFmtId="0" xfId="0" applyAlignment="1" applyBorder="1" applyFill="1" applyFont="1">
      <alignment readingOrder="0" vertical="bottom"/>
    </xf>
    <xf borderId="7" fillId="33" fontId="2" numFmtId="0" xfId="0" applyAlignment="1" applyBorder="1" applyFill="1" applyFont="1">
      <alignment horizontal="right" vertical="bottom"/>
    </xf>
    <xf borderId="7" fillId="34" fontId="2" numFmtId="0" xfId="0" applyAlignment="1" applyBorder="1" applyFill="1" applyFont="1">
      <alignment horizontal="right" vertical="bottom"/>
    </xf>
    <xf borderId="7" fillId="35" fontId="2" numFmtId="0" xfId="0" applyAlignment="1" applyBorder="1" applyFill="1" applyFont="1">
      <alignment horizontal="right" vertical="bottom"/>
    </xf>
    <xf borderId="0" fillId="36" fontId="2" numFmtId="164" xfId="0" applyAlignment="1" applyFill="1" applyFont="1" applyNumberFormat="1">
      <alignment horizontal="right" vertical="bottom"/>
    </xf>
    <xf borderId="7" fillId="27" fontId="8" numFmtId="0" xfId="0" applyAlignment="1" applyBorder="1" applyFont="1">
      <alignment vertical="bottom"/>
    </xf>
    <xf borderId="7" fillId="37" fontId="2" numFmtId="0" xfId="0" applyAlignment="1" applyBorder="1" applyFill="1" applyFont="1">
      <alignment horizontal="right" readingOrder="0" vertical="bottom"/>
    </xf>
    <xf borderId="7" fillId="38" fontId="2" numFmtId="0" xfId="0" applyAlignment="1" applyBorder="1" applyFill="1" applyFont="1">
      <alignment horizontal="right" readingOrder="0" vertical="bottom"/>
    </xf>
    <xf borderId="7" fillId="39" fontId="2" numFmtId="0" xfId="0" applyAlignment="1" applyBorder="1" applyFill="1" applyFont="1">
      <alignment horizontal="right" readingOrder="0" vertical="bottom"/>
    </xf>
    <xf borderId="0" fillId="40" fontId="2" numFmtId="164" xfId="0" applyAlignment="1" applyFill="1" applyFont="1" applyNumberFormat="1">
      <alignment horizontal="right" vertical="bottom"/>
    </xf>
    <xf borderId="7" fillId="22" fontId="8" numFmtId="0" xfId="0" applyAlignment="1" applyBorder="1" applyFont="1">
      <alignment readingOrder="0" vertical="bottom"/>
    </xf>
    <xf borderId="7" fillId="23" fontId="2" numFmtId="0" xfId="0" applyAlignment="1" applyBorder="1" applyFont="1">
      <alignment horizontal="right" readingOrder="0" vertical="bottom"/>
    </xf>
    <xf borderId="7" fillId="24" fontId="2" numFmtId="0" xfId="0" applyAlignment="1" applyBorder="1" applyFont="1">
      <alignment horizontal="right" readingOrder="0" vertical="bottom"/>
    </xf>
    <xf borderId="7" fillId="25" fontId="2" numFmtId="0" xfId="0" applyAlignment="1" applyBorder="1" applyFont="1">
      <alignment horizontal="right" readingOrder="0" vertical="bottom"/>
    </xf>
    <xf borderId="7" fillId="41" fontId="2" numFmtId="0" xfId="0" applyAlignment="1" applyBorder="1" applyFill="1" applyFont="1">
      <alignment horizontal="right" readingOrder="0" vertical="bottom"/>
    </xf>
    <xf borderId="7" fillId="42" fontId="2" numFmtId="0" xfId="0" applyAlignment="1" applyBorder="1" applyFill="1" applyFont="1">
      <alignment horizontal="right" readingOrder="0" vertical="bottom"/>
    </xf>
    <xf borderId="7" fillId="43" fontId="2" numFmtId="0" xfId="0" applyAlignment="1" applyBorder="1" applyFill="1" applyFont="1">
      <alignment horizontal="right" readingOrder="0" vertical="bottom"/>
    </xf>
    <xf borderId="0" fillId="44" fontId="2" numFmtId="164" xfId="0" applyAlignment="1" applyFill="1" applyFont="1" applyNumberFormat="1">
      <alignment horizontal="right" vertical="bottom"/>
    </xf>
    <xf borderId="7" fillId="45" fontId="2" numFmtId="0" xfId="0" applyAlignment="1" applyBorder="1" applyFill="1" applyFont="1">
      <alignment horizontal="right" vertical="bottom"/>
    </xf>
    <xf borderId="7" fillId="46" fontId="2" numFmtId="0" xfId="0" applyAlignment="1" applyBorder="1" applyFill="1" applyFont="1">
      <alignment horizontal="right" vertical="bottom"/>
    </xf>
    <xf borderId="7" fillId="47" fontId="2" numFmtId="0" xfId="0" applyAlignment="1" applyBorder="1" applyFill="1" applyFont="1">
      <alignment horizontal="right" vertical="bottom"/>
    </xf>
    <xf borderId="0" fillId="48" fontId="2" numFmtId="164" xfId="0" applyAlignment="1" applyFill="1" applyFont="1" applyNumberFormat="1">
      <alignment horizontal="right" vertical="bottom"/>
    </xf>
    <xf borderId="7" fillId="49" fontId="2" numFmtId="0" xfId="0" applyAlignment="1" applyBorder="1" applyFill="1" applyFont="1">
      <alignment horizontal="right" readingOrder="0" vertical="bottom"/>
    </xf>
    <xf borderId="7" fillId="41" fontId="2" numFmtId="0" xfId="0" applyAlignment="1" applyBorder="1" applyFont="1">
      <alignment horizontal="right" vertical="bottom"/>
    </xf>
    <xf borderId="0" fillId="50" fontId="2" numFmtId="164" xfId="0" applyAlignment="1" applyFill="1" applyFont="1" applyNumberFormat="1">
      <alignment horizontal="right" vertical="bottom"/>
    </xf>
    <xf borderId="7" fillId="51" fontId="8" numFmtId="0" xfId="0" applyAlignment="1" applyBorder="1" applyFill="1" applyFont="1">
      <alignment readingOrder="0" vertical="bottom"/>
    </xf>
    <xf borderId="7" fillId="42" fontId="2" numFmtId="0" xfId="0" applyAlignment="1" applyBorder="1" applyFont="1">
      <alignment horizontal="right" vertical="bottom"/>
    </xf>
    <xf borderId="7" fillId="52" fontId="2" numFmtId="0" xfId="0" applyAlignment="1" applyBorder="1" applyFill="1" applyFont="1">
      <alignment horizontal="right" vertical="bottom"/>
    </xf>
    <xf borderId="7" fillId="53" fontId="2" numFmtId="0" xfId="0" applyAlignment="1" applyBorder="1" applyFill="1" applyFont="1">
      <alignment horizontal="right" vertical="bottom"/>
    </xf>
    <xf borderId="0" fillId="54" fontId="2" numFmtId="164" xfId="0" applyAlignment="1" applyFill="1" applyFont="1" applyNumberFormat="1">
      <alignment horizontal="right" vertical="bottom"/>
    </xf>
    <xf borderId="7" fillId="51" fontId="8" numFmtId="0" xfId="0" applyAlignment="1" applyBorder="1" applyFont="1">
      <alignment vertical="bottom"/>
    </xf>
    <xf borderId="7" fillId="55" fontId="2" numFmtId="0" xfId="0" applyAlignment="1" applyBorder="1" applyFill="1" applyFont="1">
      <alignment horizontal="right" vertical="bottom"/>
    </xf>
    <xf borderId="0" fillId="56" fontId="2" numFmtId="164" xfId="0" applyAlignment="1" applyFill="1" applyFont="1" applyNumberFormat="1">
      <alignment horizontal="right" vertical="bottom"/>
    </xf>
    <xf borderId="7" fillId="57" fontId="2" numFmtId="0" xfId="0" applyAlignment="1" applyBorder="1" applyFill="1" applyFont="1">
      <alignment horizontal="right" vertical="bottom"/>
    </xf>
    <xf borderId="7" fillId="58" fontId="2" numFmtId="0" xfId="0" applyAlignment="1" applyBorder="1" applyFill="1" applyFont="1">
      <alignment horizontal="right" vertical="bottom"/>
    </xf>
    <xf borderId="7" fillId="49" fontId="2" numFmtId="0" xfId="0" applyAlignment="1" applyBorder="1" applyFont="1">
      <alignment horizontal="right" vertical="bottom"/>
    </xf>
    <xf borderId="0" fillId="59" fontId="2" numFmtId="164" xfId="0" applyAlignment="1" applyFill="1" applyFont="1" applyNumberFormat="1">
      <alignment horizontal="right" vertical="bottom"/>
    </xf>
    <xf borderId="7" fillId="60" fontId="2" numFmtId="0" xfId="0" applyAlignment="1" applyBorder="1" applyFill="1" applyFont="1">
      <alignment horizontal="right" vertical="bottom"/>
    </xf>
    <xf borderId="7" fillId="61" fontId="2" numFmtId="0" xfId="0" applyAlignment="1" applyBorder="1" applyFill="1" applyFont="1">
      <alignment horizontal="right" vertical="bottom"/>
    </xf>
    <xf borderId="7" fillId="38" fontId="2" numFmtId="0" xfId="0" applyAlignment="1" applyBorder="1" applyFont="1">
      <alignment horizontal="right" vertical="bottom"/>
    </xf>
    <xf borderId="0" fillId="62" fontId="2" numFmtId="164" xfId="0" applyAlignment="1" applyFill="1" applyFont="1" applyNumberFormat="1">
      <alignment horizontal="right" vertical="bottom"/>
    </xf>
    <xf borderId="7" fillId="63" fontId="2" numFmtId="0" xfId="0" applyAlignment="1" applyBorder="1" applyFill="1" applyFont="1">
      <alignment horizontal="right" vertical="bottom"/>
    </xf>
    <xf borderId="7" fillId="64" fontId="2" numFmtId="0" xfId="0" applyAlignment="1" applyBorder="1" applyFill="1" applyFont="1">
      <alignment horizontal="right" vertical="bottom"/>
    </xf>
    <xf borderId="0" fillId="65" fontId="2" numFmtId="164" xfId="0" applyAlignment="1" applyFill="1" applyFont="1" applyNumberFormat="1">
      <alignment horizontal="right" vertical="bottom"/>
    </xf>
    <xf borderId="0" fillId="66" fontId="2" numFmtId="164" xfId="0" applyAlignment="1" applyFill="1" applyFont="1" applyNumberFormat="1">
      <alignment horizontal="right" vertical="bottom"/>
    </xf>
    <xf borderId="7" fillId="32" fontId="8" numFmtId="0" xfId="0" applyAlignment="1" applyBorder="1" applyFont="1">
      <alignment vertical="bottom"/>
    </xf>
    <xf borderId="7" fillId="67" fontId="2" numFmtId="0" xfId="0" applyAlignment="1" applyBorder="1" applyFill="1" applyFont="1">
      <alignment horizontal="right" vertical="bottom"/>
    </xf>
    <xf borderId="7" fillId="68" fontId="2" numFmtId="0" xfId="0" applyAlignment="1" applyBorder="1" applyFill="1" applyFont="1">
      <alignment horizontal="right" vertical="bottom"/>
    </xf>
    <xf borderId="0" fillId="69" fontId="2" numFmtId="164" xfId="0" applyAlignment="1" applyFill="1" applyFont="1" applyNumberFormat="1">
      <alignment horizontal="right" vertical="bottom"/>
    </xf>
    <xf borderId="7" fillId="70" fontId="2" numFmtId="0" xfId="0" applyAlignment="1" applyBorder="1" applyFill="1" applyFont="1">
      <alignment horizontal="right" vertical="bottom"/>
    </xf>
    <xf borderId="7" fillId="71" fontId="2" numFmtId="0" xfId="0" applyAlignment="1" applyBorder="1" applyFill="1" applyFont="1">
      <alignment horizontal="right" vertical="bottom"/>
    </xf>
    <xf borderId="7" fillId="72" fontId="2" numFmtId="0" xfId="0" applyAlignment="1" applyBorder="1" applyFill="1" applyFont="1">
      <alignment horizontal="right" vertical="bottom"/>
    </xf>
    <xf borderId="0" fillId="73" fontId="2" numFmtId="164" xfId="0" applyAlignment="1" applyFill="1" applyFont="1" applyNumberFormat="1">
      <alignment horizontal="right" vertical="bottom"/>
    </xf>
    <xf borderId="7" fillId="74" fontId="2" numFmtId="0" xfId="0" applyAlignment="1" applyBorder="1" applyFill="1" applyFont="1">
      <alignment horizontal="right" vertical="bottom"/>
    </xf>
    <xf borderId="7" fillId="39" fontId="2" numFmtId="0" xfId="0" applyAlignment="1" applyBorder="1" applyFont="1">
      <alignment horizontal="right" vertical="bottom"/>
    </xf>
    <xf borderId="0" fillId="75" fontId="2" numFmtId="164" xfId="0" applyAlignment="1" applyFill="1" applyFont="1" applyNumberFormat="1">
      <alignment horizontal="right" vertical="bottom"/>
    </xf>
    <xf borderId="7" fillId="76" fontId="2" numFmtId="0" xfId="0" applyAlignment="1" applyBorder="1" applyFill="1" applyFont="1">
      <alignment horizontal="right" vertical="bottom"/>
    </xf>
    <xf borderId="7" fillId="77" fontId="2" numFmtId="0" xfId="0" applyAlignment="1" applyBorder="1" applyFill="1" applyFont="1">
      <alignment horizontal="right" vertical="bottom"/>
    </xf>
    <xf borderId="0" fillId="78" fontId="2" numFmtId="164" xfId="0" applyAlignment="1" applyFill="1" applyFont="1" applyNumberFormat="1">
      <alignment horizontal="right" vertical="bottom"/>
    </xf>
    <xf borderId="7" fillId="79" fontId="8" numFmtId="0" xfId="0" applyAlignment="1" applyBorder="1" applyFill="1" applyFont="1">
      <alignment readingOrder="0" vertical="bottom"/>
    </xf>
    <xf borderId="7" fillId="80" fontId="2" numFmtId="0" xfId="0" applyAlignment="1" applyBorder="1" applyFill="1" applyFont="1">
      <alignment horizontal="right" vertical="bottom"/>
    </xf>
    <xf borderId="7" fillId="81" fontId="2" numFmtId="0" xfId="0" applyAlignment="1" applyBorder="1" applyFill="1" applyFont="1">
      <alignment horizontal="right" vertical="bottom"/>
    </xf>
    <xf borderId="7" fillId="82" fontId="2" numFmtId="0" xfId="0" applyAlignment="1" applyBorder="1" applyFill="1" applyFont="1">
      <alignment horizontal="right" vertical="bottom"/>
    </xf>
    <xf borderId="7" fillId="83" fontId="2" numFmtId="0" xfId="0" applyAlignment="1" applyBorder="1" applyFill="1" applyFont="1">
      <alignment horizontal="right" vertical="bottom"/>
    </xf>
    <xf borderId="0" fillId="84" fontId="2" numFmtId="164" xfId="0" applyAlignment="1" applyFill="1" applyFont="1" applyNumberFormat="1">
      <alignment horizontal="right" vertical="bottom"/>
    </xf>
    <xf borderId="7" fillId="85" fontId="8" numFmtId="0" xfId="0" applyAlignment="1" applyBorder="1" applyFill="1" applyFont="1">
      <alignment readingOrder="0" vertical="bottom"/>
    </xf>
    <xf borderId="7" fillId="86" fontId="2" numFmtId="0" xfId="0" applyAlignment="1" applyBorder="1" applyFill="1" applyFont="1">
      <alignment horizontal="right" vertical="bottom"/>
    </xf>
    <xf borderId="7" fillId="87" fontId="2" numFmtId="0" xfId="0" applyAlignment="1" applyBorder="1" applyFill="1" applyFont="1">
      <alignment horizontal="right" vertical="bottom"/>
    </xf>
    <xf borderId="0" fillId="88" fontId="2" numFmtId="164" xfId="0" applyAlignment="1" applyFill="1" applyFont="1" applyNumberFormat="1">
      <alignment horizontal="right" vertical="bottom"/>
    </xf>
    <xf borderId="0" fillId="0" fontId="15" numFmtId="164" xfId="0" applyAlignment="1" applyFont="1" applyNumberFormat="1">
      <alignment horizontal="right"/>
    </xf>
    <xf borderId="0" fillId="0" fontId="3" numFmtId="0" xfId="0" applyAlignment="1" applyFont="1">
      <alignment readingOrder="0" shrinkToFit="0" wrapText="1"/>
    </xf>
    <xf borderId="0" fillId="89" fontId="16" numFmtId="0" xfId="0" applyAlignment="1" applyFill="1" applyFont="1">
      <alignment readingOrder="0" vertical="top"/>
    </xf>
    <xf borderId="0" fillId="89" fontId="16" numFmtId="0" xfId="0" applyAlignment="1" applyFont="1">
      <alignment horizontal="center" readingOrder="0" vertical="top"/>
    </xf>
    <xf borderId="8" fillId="89" fontId="16" numFmtId="0" xfId="0" applyAlignment="1" applyBorder="1" applyFont="1">
      <alignment horizontal="center" readingOrder="0" vertical="top"/>
    </xf>
    <xf borderId="9" fillId="0" fontId="17" numFmtId="0" xfId="0" applyBorder="1" applyFont="1"/>
    <xf borderId="10" fillId="0" fontId="17" numFmtId="0" xfId="0" applyBorder="1" applyFont="1"/>
    <xf borderId="11" fillId="89" fontId="16" numFmtId="0" xfId="0" applyAlignment="1" applyBorder="1" applyFont="1">
      <alignment horizontal="center" readingOrder="0" vertical="top"/>
    </xf>
    <xf borderId="12" fillId="90" fontId="18" numFmtId="0" xfId="0" applyAlignment="1" applyBorder="1" applyFill="1" applyFont="1">
      <alignment horizontal="center" readingOrder="0"/>
    </xf>
    <xf borderId="13" fillId="0" fontId="17" numFmtId="0" xfId="0" applyBorder="1" applyFont="1"/>
    <xf borderId="14" fillId="89" fontId="16" numFmtId="0" xfId="0" applyAlignment="1" applyBorder="1" applyFont="1">
      <alignment readingOrder="0" vertical="top"/>
    </xf>
    <xf borderId="12" fillId="89" fontId="16" numFmtId="0" xfId="0" applyAlignment="1" applyBorder="1" applyFont="1">
      <alignment horizontal="center" readingOrder="0" vertical="top"/>
    </xf>
    <xf borderId="15" fillId="89" fontId="16" numFmtId="0" xfId="0" applyAlignment="1" applyBorder="1" applyFont="1">
      <alignment horizontal="center" readingOrder="0" vertical="top"/>
    </xf>
    <xf borderId="7" fillId="89" fontId="16" numFmtId="0" xfId="0" applyAlignment="1" applyBorder="1" applyFont="1">
      <alignment horizontal="center" readingOrder="0" vertical="top"/>
    </xf>
    <xf borderId="16" fillId="89" fontId="16" numFmtId="0" xfId="0" applyAlignment="1" applyBorder="1" applyFont="1">
      <alignment horizontal="center" readingOrder="0" vertical="top"/>
    </xf>
    <xf borderId="17" fillId="90" fontId="18" numFmtId="0" xfId="0" applyAlignment="1" applyBorder="1" applyFont="1">
      <alignment horizontal="center" readingOrder="0"/>
    </xf>
    <xf borderId="16" fillId="90" fontId="18" numFmtId="0" xfId="0" applyAlignment="1" applyBorder="1" applyFont="1">
      <alignment horizontal="center" readingOrder="0"/>
    </xf>
    <xf borderId="14" fillId="91" fontId="16" numFmtId="0" xfId="0" applyAlignment="1" applyBorder="1" applyFill="1" applyFont="1">
      <alignment readingOrder="0" vertical="top"/>
    </xf>
    <xf borderId="12" fillId="0" fontId="19" numFmtId="0" xfId="0" applyAlignment="1" applyBorder="1" applyFont="1">
      <alignment horizontal="center" readingOrder="0" vertical="top"/>
    </xf>
    <xf borderId="15" fillId="0" fontId="19" numFmtId="0" xfId="0" applyAlignment="1" applyBorder="1" applyFont="1">
      <alignment horizontal="center" readingOrder="0" vertical="top"/>
    </xf>
    <xf borderId="7" fillId="0" fontId="19" numFmtId="0" xfId="0" applyAlignment="1" applyBorder="1" applyFont="1">
      <alignment horizontal="center" readingOrder="0" vertical="top"/>
    </xf>
    <xf borderId="16" fillId="0" fontId="19" numFmtId="0" xfId="0" applyAlignment="1" applyBorder="1" applyFont="1">
      <alignment horizontal="center" readingOrder="0" vertical="top"/>
    </xf>
    <xf borderId="7" fillId="3" fontId="19" numFmtId="0" xfId="0" applyAlignment="1" applyBorder="1" applyFont="1">
      <alignment horizontal="center" readingOrder="0" vertical="top"/>
    </xf>
    <xf borderId="17" fillId="0" fontId="20" numFmtId="2" xfId="0" applyAlignment="1" applyBorder="1" applyFont="1" applyNumberFormat="1">
      <alignment horizontal="center" readingOrder="0" shrinkToFit="0" vertical="bottom" wrapText="0"/>
    </xf>
    <xf borderId="16" fillId="0" fontId="20" numFmtId="2" xfId="0" applyAlignment="1" applyBorder="1" applyFont="1" applyNumberFormat="1">
      <alignment horizontal="center" readingOrder="0" shrinkToFit="0" vertical="bottom" wrapText="0"/>
    </xf>
    <xf borderId="12" fillId="3" fontId="19" numFmtId="0" xfId="0" applyAlignment="1" applyBorder="1" applyFont="1">
      <alignment horizontal="center" readingOrder="0" vertical="top"/>
    </xf>
    <xf borderId="15" fillId="3" fontId="19" numFmtId="0" xfId="0" applyAlignment="1" applyBorder="1" applyFont="1">
      <alignment horizontal="center" readingOrder="0" vertical="top"/>
    </xf>
    <xf borderId="16" fillId="3" fontId="19" numFmtId="0" xfId="0" applyAlignment="1" applyBorder="1" applyFont="1">
      <alignment horizontal="center" readingOrder="0" vertical="top"/>
    </xf>
    <xf borderId="13" fillId="0" fontId="19" numFmtId="0" xfId="0" applyAlignment="1" applyBorder="1" applyFont="1">
      <alignment horizontal="center" readingOrder="0" vertical="top"/>
    </xf>
    <xf borderId="17" fillId="0" fontId="19" numFmtId="0" xfId="0" applyAlignment="1" applyBorder="1" applyFont="1">
      <alignment horizontal="center" readingOrder="0" vertical="top"/>
    </xf>
    <xf borderId="16" fillId="3" fontId="20" numFmtId="165" xfId="0" applyAlignment="1" applyBorder="1" applyFont="1" applyNumberFormat="1">
      <alignment horizontal="center" readingOrder="0" shrinkToFit="0" vertical="bottom" wrapText="0"/>
    </xf>
    <xf borderId="14" fillId="91" fontId="21" numFmtId="0" xfId="0" applyAlignment="1" applyBorder="1" applyFont="1">
      <alignment readingOrder="0" shrinkToFit="0" vertical="top" wrapText="0"/>
    </xf>
    <xf borderId="13" fillId="0" fontId="22" numFmtId="0" xfId="0" applyAlignment="1" applyBorder="1" applyFont="1">
      <alignment horizontal="center" readingOrder="0" shrinkToFit="0" vertical="top" wrapText="0"/>
    </xf>
    <xf borderId="17" fillId="0" fontId="22" numFmtId="2" xfId="0" applyAlignment="1" applyBorder="1" applyFont="1" applyNumberFormat="1">
      <alignment horizontal="center" readingOrder="0" shrinkToFit="0" vertical="top" wrapText="0"/>
    </xf>
    <xf borderId="12" fillId="0" fontId="22" numFmtId="2" xfId="0" applyAlignment="1" applyBorder="1" applyFont="1" applyNumberFormat="1">
      <alignment horizontal="center" readingOrder="0" shrinkToFit="0" vertical="top" wrapText="0"/>
    </xf>
    <xf borderId="18" fillId="0" fontId="22" numFmtId="0" xfId="0" applyAlignment="1" applyBorder="1" applyFont="1">
      <alignment horizontal="center" readingOrder="0" shrinkToFit="0" vertical="top" wrapText="0"/>
    </xf>
    <xf borderId="17" fillId="0" fontId="22" numFmtId="0" xfId="0" applyAlignment="1" applyBorder="1" applyFont="1">
      <alignment horizontal="center" readingOrder="0" shrinkToFit="0" vertical="top" wrapText="0"/>
    </xf>
    <xf borderId="17" fillId="3" fontId="22" numFmtId="0" xfId="0" applyAlignment="1" applyBorder="1" applyFont="1">
      <alignment horizontal="center" readingOrder="0" shrinkToFit="0" vertical="top" wrapText="0"/>
    </xf>
    <xf borderId="15" fillId="0" fontId="19" numFmtId="2" xfId="0" applyAlignment="1" applyBorder="1" applyFont="1" applyNumberFormat="1">
      <alignment horizontal="center" readingOrder="0" shrinkToFit="0" vertical="bottom" wrapText="0"/>
    </xf>
    <xf borderId="13" fillId="0" fontId="19" numFmtId="2" xfId="0" applyAlignment="1" applyBorder="1" applyFont="1" applyNumberFormat="1">
      <alignment horizontal="center" readingOrder="0" shrinkToFit="0" vertical="bottom" wrapText="0"/>
    </xf>
    <xf borderId="5" fillId="91" fontId="21" numFmtId="0" xfId="0" applyAlignment="1" applyBorder="1" applyFont="1">
      <alignment readingOrder="0" shrinkToFit="0" vertical="top" wrapText="0"/>
    </xf>
    <xf borderId="19" fillId="0" fontId="22" numFmtId="0" xfId="0" applyAlignment="1" applyBorder="1" applyFont="1">
      <alignment horizontal="center" readingOrder="0" shrinkToFit="0" vertical="top" wrapText="0"/>
    </xf>
    <xf borderId="6" fillId="0" fontId="22" numFmtId="0" xfId="0" applyAlignment="1" applyBorder="1" applyFont="1">
      <alignment horizontal="center" readingOrder="0" shrinkToFit="0" vertical="top" wrapText="0"/>
    </xf>
    <xf borderId="20" fillId="0" fontId="22" numFmtId="0" xfId="0" applyAlignment="1" applyBorder="1" applyFont="1">
      <alignment horizontal="center" readingOrder="0" shrinkToFit="0" vertical="top" wrapText="0"/>
    </xf>
    <xf borderId="21" fillId="0" fontId="22" numFmtId="0" xfId="0" applyAlignment="1" applyBorder="1" applyFont="1">
      <alignment horizontal="center" readingOrder="0" shrinkToFit="0" vertical="top" wrapText="0"/>
    </xf>
    <xf borderId="6" fillId="3" fontId="22" numFmtId="0" xfId="0" applyAlignment="1" applyBorder="1" applyFont="1">
      <alignment horizontal="center" readingOrder="0" shrinkToFit="0" vertical="top" wrapText="0"/>
    </xf>
    <xf borderId="22" fillId="0" fontId="19" numFmtId="2" xfId="0" applyAlignment="1" applyBorder="1" applyFont="1" applyNumberFormat="1">
      <alignment horizontal="center" readingOrder="0" shrinkToFit="0" vertical="bottom" wrapText="0"/>
    </xf>
    <xf borderId="19" fillId="0" fontId="19" numFmtId="2" xfId="0" applyAlignment="1" applyBorder="1" applyFont="1" applyNumberFormat="1">
      <alignment horizontal="center" readingOrder="0" shrinkToFit="0" vertical="bottom" wrapText="0"/>
    </xf>
    <xf borderId="6" fillId="0" fontId="22" numFmtId="2" xfId="0" applyAlignment="1" applyBorder="1" applyFont="1" applyNumberFormat="1">
      <alignment horizontal="center" readingOrder="0" shrinkToFit="0" vertical="top" wrapText="0"/>
    </xf>
    <xf borderId="20" fillId="0" fontId="22" numFmtId="2" xfId="0" applyAlignment="1" applyBorder="1" applyFont="1" applyNumberFormat="1">
      <alignment horizontal="center" readingOrder="0" shrinkToFit="0" vertical="top" wrapText="0"/>
    </xf>
    <xf borderId="21" fillId="0" fontId="22" numFmtId="1" xfId="0" applyAlignment="1" applyBorder="1" applyFont="1" applyNumberFormat="1">
      <alignment horizontal="center" readingOrder="0" shrinkToFit="0" vertical="top" wrapText="0"/>
    </xf>
    <xf borderId="6" fillId="3" fontId="22" numFmtId="1" xfId="0" applyAlignment="1" applyBorder="1" applyFont="1" applyNumberFormat="1">
      <alignment horizontal="center" readingOrder="0" shrinkToFit="0" vertical="top" wrapText="0"/>
    </xf>
    <xf borderId="23" fillId="91" fontId="16" numFmtId="0" xfId="0" applyAlignment="1" applyBorder="1" applyFont="1">
      <alignment readingOrder="0" vertical="top"/>
    </xf>
    <xf borderId="24" fillId="0" fontId="19" numFmtId="0" xfId="0" applyAlignment="1" applyBorder="1" applyFont="1">
      <alignment horizontal="center" readingOrder="0" vertical="top"/>
    </xf>
    <xf borderId="25" fillId="0" fontId="19" numFmtId="0" xfId="0" applyAlignment="1" applyBorder="1" applyFont="1">
      <alignment horizontal="center" readingOrder="0" vertical="top"/>
    </xf>
    <xf borderId="26" fillId="0" fontId="19" numFmtId="0" xfId="0" applyAlignment="1" applyBorder="1" applyFont="1">
      <alignment horizontal="center" readingOrder="0" vertical="top"/>
    </xf>
    <xf borderId="27" fillId="0" fontId="19" numFmtId="0" xfId="0" applyAlignment="1" applyBorder="1" applyFont="1">
      <alignment horizontal="center" readingOrder="0" vertical="top"/>
    </xf>
    <xf borderId="26" fillId="3" fontId="19" numFmtId="0" xfId="0" applyAlignment="1" applyBorder="1" applyFont="1">
      <alignment horizontal="center" readingOrder="0" vertical="top"/>
    </xf>
    <xf borderId="28" fillId="0" fontId="20" numFmtId="2" xfId="0" applyAlignment="1" applyBorder="1" applyFont="1" applyNumberFormat="1">
      <alignment horizontal="center" readingOrder="0" shrinkToFit="0" vertical="bottom" wrapText="0"/>
    </xf>
    <xf borderId="27" fillId="0" fontId="20" numFmtId="2" xfId="0" applyAlignment="1" applyBorder="1" applyFont="1" applyNumberFormat="1">
      <alignment horizontal="center" readingOrder="0" shrinkToFit="0" vertical="bottom" wrapText="0"/>
    </xf>
    <xf borderId="29" fillId="90" fontId="18" numFmtId="2" xfId="0" applyAlignment="1" applyBorder="1" applyFont="1" applyNumberFormat="1">
      <alignment horizontal="center" readingOrder="0"/>
    </xf>
    <xf borderId="14" fillId="89" fontId="16" numFmtId="0" xfId="0" applyAlignment="1" applyBorder="1" applyFont="1">
      <alignment horizontal="center" readingOrder="0" vertical="top"/>
    </xf>
    <xf borderId="15" fillId="90" fontId="18" numFmtId="2" xfId="0" applyAlignment="1" applyBorder="1" applyFont="1" applyNumberFormat="1">
      <alignment horizontal="center" readingOrder="0"/>
    </xf>
    <xf borderId="16" fillId="90" fontId="18" numFmtId="2" xfId="0" applyAlignment="1" applyBorder="1" applyFont="1" applyNumberFormat="1">
      <alignment horizontal="center" readingOrder="0"/>
    </xf>
    <xf borderId="14" fillId="0" fontId="19" numFmtId="0" xfId="0" applyAlignment="1" applyBorder="1" applyFont="1">
      <alignment horizontal="center" readingOrder="0" vertical="top"/>
    </xf>
    <xf borderId="16" fillId="0" fontId="19" numFmtId="2" xfId="0" applyAlignment="1" applyBorder="1" applyFont="1" applyNumberFormat="1">
      <alignment horizontal="center" readingOrder="0" shrinkToFit="0" vertical="bottom" wrapText="0"/>
    </xf>
    <xf borderId="14" fillId="3" fontId="19" numFmtId="0" xfId="0" applyAlignment="1" applyBorder="1" applyFont="1">
      <alignment horizontal="center" readingOrder="0" vertical="top"/>
    </xf>
    <xf borderId="15" fillId="3" fontId="19" numFmtId="2" xfId="0" applyAlignment="1" applyBorder="1" applyFont="1" applyNumberFormat="1">
      <alignment horizontal="center" readingOrder="0" shrinkToFit="0" vertical="bottom" wrapText="0"/>
    </xf>
    <xf borderId="16" fillId="3" fontId="19" numFmtId="2" xfId="0" applyAlignment="1" applyBorder="1" applyFont="1" applyNumberFormat="1">
      <alignment horizontal="center" readingOrder="0" shrinkToFit="0" vertical="bottom" wrapText="0"/>
    </xf>
    <xf borderId="16" fillId="0" fontId="19" numFmtId="165" xfId="0" applyAlignment="1" applyBorder="1" applyFont="1" applyNumberFormat="1">
      <alignment horizontal="center" readingOrder="0" shrinkToFit="0" vertical="bottom" wrapText="0"/>
    </xf>
    <xf borderId="18" fillId="0" fontId="22" numFmtId="1" xfId="0" applyAlignment="1" applyBorder="1" applyFont="1" applyNumberFormat="1">
      <alignment horizontal="center" readingOrder="0" shrinkToFit="0" vertical="top" wrapText="0"/>
    </xf>
    <xf borderId="15" fillId="0" fontId="22" numFmtId="2" xfId="0" applyAlignment="1" applyBorder="1" applyFont="1" applyNumberFormat="1">
      <alignment horizontal="center" readingOrder="0" shrinkToFit="0" vertical="bottom" wrapText="0"/>
    </xf>
    <xf borderId="13" fillId="0" fontId="22" numFmtId="2" xfId="0" applyAlignment="1" applyBorder="1" applyFont="1" applyNumberFormat="1">
      <alignment horizontal="center" readingOrder="0" shrinkToFit="0" vertical="bottom" wrapText="0"/>
    </xf>
    <xf borderId="22" fillId="0" fontId="22" numFmtId="2" xfId="0" applyAlignment="1" applyBorder="1" applyFont="1" applyNumberFormat="1">
      <alignment horizontal="center" readingOrder="0" shrinkToFit="0" vertical="bottom" wrapText="0"/>
    </xf>
    <xf borderId="19" fillId="0" fontId="22" numFmtId="2" xfId="0" applyAlignment="1" applyBorder="1" applyFont="1" applyNumberFormat="1">
      <alignment horizontal="center" readingOrder="0" shrinkToFit="0" vertical="bottom" wrapText="0"/>
    </xf>
    <xf borderId="23" fillId="0" fontId="19" numFmtId="0" xfId="0" applyAlignment="1" applyBorder="1" applyFont="1">
      <alignment horizontal="center" readingOrder="0" vertical="top"/>
    </xf>
    <xf borderId="25" fillId="0" fontId="19" numFmtId="2" xfId="0" applyAlignment="1" applyBorder="1" applyFont="1" applyNumberFormat="1">
      <alignment horizontal="center" readingOrder="0" shrinkToFit="0" vertical="bottom" wrapText="0"/>
    </xf>
    <xf borderId="27" fillId="0" fontId="19" numFmtId="2" xfId="0" applyAlignment="1" applyBorder="1" applyFont="1" applyNumberFormat="1">
      <alignment horizontal="center" readingOrder="0" shrinkToFit="0" vertical="bottom" wrapText="0"/>
    </xf>
    <xf borderId="16" fillId="0" fontId="19" numFmtId="166" xfId="0" applyAlignment="1" applyBorder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/>
    </xf>
    <xf borderId="14" fillId="0" fontId="23" numFmtId="0" xfId="0" applyAlignment="1" applyBorder="1" applyFont="1">
      <alignment readingOrder="0" vertical="bottom"/>
    </xf>
    <xf borderId="17" fillId="0" fontId="17" numFmtId="0" xfId="0" applyBorder="1" applyFont="1"/>
    <xf borderId="7" fillId="0" fontId="23" numFmtId="0" xfId="0" applyAlignment="1" applyBorder="1" applyFont="1">
      <alignment readingOrder="0" vertical="bottom"/>
    </xf>
    <xf borderId="7" fillId="0" fontId="23" numFmtId="0" xfId="0" applyAlignment="1" applyBorder="1" applyFont="1">
      <alignment horizontal="right" vertical="bottom"/>
    </xf>
    <xf borderId="7" fillId="0" fontId="23" numFmtId="164" xfId="0" applyAlignment="1" applyBorder="1" applyFont="1" applyNumberFormat="1">
      <alignment readingOrder="0" vertical="bottom"/>
    </xf>
    <xf borderId="30" fillId="0" fontId="23" numFmtId="164" xfId="0" applyAlignment="1" applyBorder="1" applyFont="1" applyNumberFormat="1">
      <alignment readingOrder="0" vertical="bottom"/>
    </xf>
    <xf borderId="30" fillId="0" fontId="24" numFmtId="164" xfId="0" applyAlignment="1" applyBorder="1" applyFont="1" applyNumberFormat="1">
      <alignment vertical="bottom"/>
    </xf>
    <xf borderId="30" fillId="0" fontId="24" numFmtId="164" xfId="0" applyBorder="1" applyFont="1" applyNumberFormat="1"/>
    <xf borderId="7" fillId="3" fontId="24" numFmtId="164" xfId="0" applyAlignment="1" applyBorder="1" applyFont="1" applyNumberFormat="1">
      <alignment vertical="bottom"/>
    </xf>
    <xf borderId="7" fillId="92" fontId="24" numFmtId="164" xfId="0" applyAlignment="1" applyBorder="1" applyFill="1" applyFont="1" applyNumberFormat="1">
      <alignment horizontal="right" readingOrder="0" vertical="bottom"/>
    </xf>
    <xf borderId="7" fillId="93" fontId="24" numFmtId="164" xfId="0" applyAlignment="1" applyBorder="1" applyFill="1" applyFont="1" applyNumberFormat="1">
      <alignment horizontal="right" readingOrder="0" vertical="bottom"/>
    </xf>
    <xf borderId="7" fillId="94" fontId="24" numFmtId="164" xfId="0" applyAlignment="1" applyBorder="1" applyFill="1" applyFont="1" applyNumberFormat="1">
      <alignment horizontal="right" readingOrder="0" vertical="bottom"/>
    </xf>
    <xf borderId="7" fillId="95" fontId="24" numFmtId="164" xfId="0" applyAlignment="1" applyBorder="1" applyFill="1" applyFont="1" applyNumberFormat="1">
      <alignment horizontal="right" readingOrder="0" vertical="bottom"/>
    </xf>
    <xf borderId="7" fillId="0" fontId="24" numFmtId="164" xfId="0" applyAlignment="1" applyBorder="1" applyFont="1" applyNumberFormat="1">
      <alignment vertical="bottom"/>
    </xf>
    <xf borderId="7" fillId="96" fontId="24" numFmtId="164" xfId="0" applyAlignment="1" applyBorder="1" applyFill="1" applyFont="1" applyNumberFormat="1">
      <alignment horizontal="right" readingOrder="0" vertical="bottom"/>
    </xf>
    <xf borderId="7" fillId="97" fontId="24" numFmtId="164" xfId="0" applyAlignment="1" applyBorder="1" applyFill="1" applyFont="1" applyNumberFormat="1">
      <alignment horizontal="right" readingOrder="0" vertical="bottom"/>
    </xf>
    <xf borderId="7" fillId="98" fontId="24" numFmtId="164" xfId="0" applyAlignment="1" applyBorder="1" applyFill="1" applyFont="1" applyNumberFormat="1">
      <alignment horizontal="right" readingOrder="0" vertical="bottom"/>
    </xf>
    <xf borderId="7" fillId="99" fontId="24" numFmtId="164" xfId="0" applyAlignment="1" applyBorder="1" applyFill="1" applyFont="1" applyNumberFormat="1">
      <alignment horizontal="right" readingOrder="0" vertical="bottom"/>
    </xf>
    <xf borderId="7" fillId="100" fontId="24" numFmtId="164" xfId="0" applyAlignment="1" applyBorder="1" applyFill="1" applyFont="1" applyNumberFormat="1">
      <alignment horizontal="right" readingOrder="0" vertical="bottom"/>
    </xf>
    <xf borderId="7" fillId="101" fontId="24" numFmtId="164" xfId="0" applyAlignment="1" applyBorder="1" applyFill="1" applyFont="1" applyNumberFormat="1">
      <alignment horizontal="right" readingOrder="0" vertical="bottom"/>
    </xf>
    <xf borderId="7" fillId="102" fontId="24" numFmtId="164" xfId="0" applyAlignment="1" applyBorder="1" applyFill="1" applyFont="1" applyNumberFormat="1">
      <alignment horizontal="right" readingOrder="0" vertical="bottom"/>
    </xf>
    <xf borderId="7" fillId="103" fontId="24" numFmtId="164" xfId="0" applyAlignment="1" applyBorder="1" applyFill="1" applyFont="1" applyNumberFormat="1">
      <alignment horizontal="right" readingOrder="0" vertical="bottom"/>
    </xf>
    <xf borderId="7" fillId="104" fontId="24" numFmtId="164" xfId="0" applyAlignment="1" applyBorder="1" applyFill="1" applyFont="1" applyNumberFormat="1">
      <alignment horizontal="right" readingOrder="0" vertical="bottom"/>
    </xf>
    <xf borderId="7" fillId="105" fontId="24" numFmtId="164" xfId="0" applyAlignment="1" applyBorder="1" applyFill="1" applyFont="1" applyNumberFormat="1">
      <alignment horizontal="right" readingOrder="0" vertical="bottom"/>
    </xf>
    <xf borderId="7" fillId="106" fontId="24" numFmtId="164" xfId="0" applyAlignment="1" applyBorder="1" applyFill="1" applyFont="1" applyNumberFormat="1">
      <alignment horizontal="right" vertical="bottom"/>
    </xf>
    <xf borderId="7" fillId="102" fontId="24" numFmtId="164" xfId="0" applyAlignment="1" applyBorder="1" applyFont="1" applyNumberFormat="1">
      <alignment horizontal="right" vertical="bottom"/>
    </xf>
    <xf borderId="7" fillId="107" fontId="24" numFmtId="164" xfId="0" applyAlignment="1" applyBorder="1" applyFill="1" applyFont="1" applyNumberFormat="1">
      <alignment horizontal="right" vertical="bottom"/>
    </xf>
    <xf borderId="7" fillId="108" fontId="24" numFmtId="164" xfId="0" applyAlignment="1" applyBorder="1" applyFill="1" applyFont="1" applyNumberFormat="1">
      <alignment horizontal="right" vertical="bottom"/>
    </xf>
    <xf borderId="7" fillId="109" fontId="24" numFmtId="164" xfId="0" applyAlignment="1" applyBorder="1" applyFill="1" applyFont="1" applyNumberFormat="1">
      <alignment horizontal="right" vertical="bottom"/>
    </xf>
    <xf borderId="7" fillId="110" fontId="24" numFmtId="164" xfId="0" applyAlignment="1" applyBorder="1" applyFill="1" applyFont="1" applyNumberFormat="1">
      <alignment horizontal="right" vertical="bottom"/>
    </xf>
    <xf borderId="7" fillId="111" fontId="24" numFmtId="164" xfId="0" applyAlignment="1" applyBorder="1" applyFill="1" applyFont="1" applyNumberFormat="1">
      <alignment horizontal="right" vertical="bottom"/>
    </xf>
    <xf borderId="7" fillId="112" fontId="24" numFmtId="164" xfId="0" applyAlignment="1" applyBorder="1" applyFill="1" applyFont="1" applyNumberFormat="1">
      <alignment horizontal="right" vertical="bottom"/>
    </xf>
    <xf borderId="7" fillId="113" fontId="24" numFmtId="164" xfId="0" applyAlignment="1" applyBorder="1" applyFill="1" applyFont="1" applyNumberFormat="1">
      <alignment horizontal="right" vertical="bottom"/>
    </xf>
    <xf borderId="7" fillId="114" fontId="24" numFmtId="164" xfId="0" applyAlignment="1" applyBorder="1" applyFill="1" applyFont="1" applyNumberFormat="1">
      <alignment horizontal="right" vertical="bottom"/>
    </xf>
    <xf borderId="7" fillId="4" fontId="24" numFmtId="164" xfId="0" applyAlignment="1" applyBorder="1" applyFont="1" applyNumberFormat="1">
      <alignment vertical="bottom"/>
    </xf>
    <xf borderId="7" fillId="115" fontId="24" numFmtId="164" xfId="0" applyAlignment="1" applyBorder="1" applyFill="1" applyFont="1" applyNumberFormat="1">
      <alignment horizontal="right" vertical="bottom"/>
    </xf>
    <xf borderId="7" fillId="85" fontId="24" numFmtId="164" xfId="0" applyAlignment="1" applyBorder="1" applyFont="1" applyNumberFormat="1">
      <alignment horizontal="right" vertical="bottom"/>
    </xf>
    <xf borderId="7" fillId="116" fontId="24" numFmtId="164" xfId="0" applyAlignment="1" applyBorder="1" applyFill="1" applyFont="1" applyNumberFormat="1">
      <alignment horizontal="right" vertical="bottom"/>
    </xf>
    <xf borderId="7" fillId="117" fontId="24" numFmtId="164" xfId="0" applyAlignment="1" applyBorder="1" applyFill="1" applyFont="1" applyNumberFormat="1">
      <alignment horizontal="right" vertical="bottom"/>
    </xf>
    <xf borderId="7" fillId="118" fontId="24" numFmtId="164" xfId="0" applyAlignment="1" applyBorder="1" applyFill="1" applyFont="1" applyNumberFormat="1">
      <alignment horizontal="right" readingOrder="0" vertical="bottom"/>
    </xf>
    <xf borderId="7" fillId="119" fontId="24" numFmtId="164" xfId="0" applyAlignment="1" applyBorder="1" applyFill="1" applyFont="1" applyNumberFormat="1">
      <alignment horizontal="right" readingOrder="0" vertical="bottom"/>
    </xf>
    <xf borderId="7" fillId="120" fontId="24" numFmtId="164" xfId="0" applyAlignment="1" applyBorder="1" applyFill="1" applyFont="1" applyNumberFormat="1">
      <alignment horizontal="right" readingOrder="0" vertical="bottom"/>
    </xf>
    <xf borderId="7" fillId="114" fontId="24" numFmtId="164" xfId="0" applyAlignment="1" applyBorder="1" applyFont="1" applyNumberFormat="1">
      <alignment horizontal="right" readingOrder="0" vertical="bottom"/>
    </xf>
    <xf borderId="7" fillId="118" fontId="24" numFmtId="164" xfId="0" applyAlignment="1" applyBorder="1" applyFont="1" applyNumberFormat="1">
      <alignment horizontal="right" vertical="bottom"/>
    </xf>
    <xf borderId="7" fillId="121" fontId="24" numFmtId="164" xfId="0" applyAlignment="1" applyBorder="1" applyFill="1" applyFont="1" applyNumberFormat="1">
      <alignment horizontal="right" vertical="bottom"/>
    </xf>
    <xf borderId="7" fillId="122" fontId="24" numFmtId="164" xfId="0" applyAlignment="1" applyBorder="1" applyFill="1" applyFont="1" applyNumberFormat="1">
      <alignment horizontal="right" vertical="bottom"/>
    </xf>
    <xf borderId="7" fillId="4" fontId="24" numFmtId="164" xfId="0" applyAlignment="1" applyBorder="1" applyFont="1" applyNumberFormat="1">
      <alignment readingOrder="0" vertical="bottom"/>
    </xf>
    <xf borderId="7" fillId="123" fontId="24" numFmtId="164" xfId="0" applyAlignment="1" applyBorder="1" applyFill="1" applyFont="1" applyNumberFormat="1">
      <alignment horizontal="right" vertical="bottom"/>
    </xf>
    <xf borderId="7" fillId="124" fontId="24" numFmtId="164" xfId="0" applyAlignment="1" applyBorder="1" applyFill="1" applyFont="1" applyNumberFormat="1">
      <alignment horizontal="right" vertical="bottom"/>
    </xf>
    <xf borderId="7" fillId="125" fontId="24" numFmtId="164" xfId="0" applyAlignment="1" applyBorder="1" applyFill="1" applyFont="1" applyNumberFormat="1">
      <alignment horizontal="right" vertical="bottom"/>
    </xf>
    <xf borderId="7" fillId="126" fontId="24" numFmtId="164" xfId="0" applyAlignment="1" applyBorder="1" applyFill="1" applyFont="1" applyNumberFormat="1">
      <alignment horizontal="right" vertical="bottom"/>
    </xf>
    <xf borderId="7" fillId="127" fontId="24" numFmtId="164" xfId="0" applyAlignment="1" applyBorder="1" applyFill="1" applyFont="1" applyNumberFormat="1">
      <alignment horizontal="right" vertical="bottom"/>
    </xf>
    <xf borderId="7" fillId="128" fontId="24" numFmtId="164" xfId="0" applyAlignment="1" applyBorder="1" applyFill="1" applyFont="1" applyNumberFormat="1">
      <alignment horizontal="right" vertical="bottom"/>
    </xf>
    <xf borderId="7" fillId="129" fontId="24" numFmtId="164" xfId="0" applyAlignment="1" applyBorder="1" applyFill="1" applyFont="1" applyNumberFormat="1">
      <alignment horizontal="right" vertical="bottom"/>
    </xf>
    <xf borderId="7" fillId="121" fontId="24" numFmtId="164" xfId="0" applyAlignment="1" applyBorder="1" applyFont="1" applyNumberFormat="1">
      <alignment horizontal="right" readingOrder="0" vertical="bottom"/>
    </xf>
    <xf borderId="7" fillId="130" fontId="24" numFmtId="164" xfId="0" applyAlignment="1" applyBorder="1" applyFill="1" applyFont="1" applyNumberFormat="1">
      <alignment horizontal="right" readingOrder="0" vertical="bottom"/>
    </xf>
    <xf borderId="7" fillId="131" fontId="24" numFmtId="164" xfId="0" applyAlignment="1" applyBorder="1" applyFill="1" applyFont="1" applyNumberFormat="1">
      <alignment horizontal="right" readingOrder="0" vertical="bottom"/>
    </xf>
    <xf borderId="7" fillId="132" fontId="24" numFmtId="164" xfId="0" applyAlignment="1" applyBorder="1" applyFill="1" applyFont="1" applyNumberFormat="1">
      <alignment horizontal="right" readingOrder="0" vertical="bottom"/>
    </xf>
    <xf borderId="7" fillId="133" fontId="24" numFmtId="164" xfId="0" applyAlignment="1" applyBorder="1" applyFill="1" applyFont="1" applyNumberFormat="1">
      <alignment horizontal="right" readingOrder="0" vertical="bottom"/>
    </xf>
    <xf borderId="7" fillId="134" fontId="24" numFmtId="164" xfId="0" applyAlignment="1" applyBorder="1" applyFill="1" applyFont="1" applyNumberFormat="1">
      <alignment horizontal="right" readingOrder="0" vertical="bottom"/>
    </xf>
    <xf borderId="7" fillId="135" fontId="24" numFmtId="164" xfId="0" applyAlignment="1" applyBorder="1" applyFill="1" applyFont="1" applyNumberFormat="1">
      <alignment horizontal="right" readingOrder="0" vertical="bottom"/>
    </xf>
    <xf borderId="7" fillId="136" fontId="24" numFmtId="164" xfId="0" applyAlignment="1" applyBorder="1" applyFill="1" applyFont="1" applyNumberFormat="1">
      <alignment horizontal="right" readingOrder="0" vertical="bottom"/>
    </xf>
    <xf borderId="7" fillId="137" fontId="24" numFmtId="164" xfId="0" applyAlignment="1" applyBorder="1" applyFill="1" applyFont="1" applyNumberFormat="1">
      <alignment horizontal="right" vertical="bottom"/>
    </xf>
    <xf borderId="7" fillId="138" fontId="24" numFmtId="164" xfId="0" applyAlignment="1" applyBorder="1" applyFill="1" applyFont="1" applyNumberFormat="1">
      <alignment horizontal="right" vertical="bottom"/>
    </xf>
    <xf borderId="7" fillId="139" fontId="24" numFmtId="164" xfId="0" applyAlignment="1" applyBorder="1" applyFill="1" applyFont="1" applyNumberFormat="1">
      <alignment horizontal="right" vertical="bottom"/>
    </xf>
    <xf borderId="7" fillId="140" fontId="24" numFmtId="164" xfId="0" applyAlignment="1" applyBorder="1" applyFill="1" applyFont="1" applyNumberFormat="1">
      <alignment horizontal="right" vertical="bottom"/>
    </xf>
    <xf borderId="7" fillId="141" fontId="24" numFmtId="164" xfId="0" applyAlignment="1" applyBorder="1" applyFill="1" applyFont="1" applyNumberFormat="1">
      <alignment horizontal="right" vertical="bottom"/>
    </xf>
    <xf borderId="7" fillId="142" fontId="24" numFmtId="164" xfId="0" applyAlignment="1" applyBorder="1" applyFill="1" applyFont="1" applyNumberFormat="1">
      <alignment horizontal="right" vertical="bottom"/>
    </xf>
    <xf borderId="7" fillId="143" fontId="24" numFmtId="164" xfId="0" applyAlignment="1" applyBorder="1" applyFill="1" applyFont="1" applyNumberFormat="1">
      <alignment horizontal="right" vertical="bottom"/>
    </xf>
    <xf borderId="7" fillId="144" fontId="24" numFmtId="164" xfId="0" applyAlignment="1" applyBorder="1" applyFill="1" applyFont="1" applyNumberFormat="1">
      <alignment horizontal="right" vertical="bottom"/>
    </xf>
    <xf borderId="7" fillId="145" fontId="24" numFmtId="164" xfId="0" applyAlignment="1" applyBorder="1" applyFill="1" applyFont="1" applyNumberFormat="1">
      <alignment horizontal="right" vertical="bottom"/>
    </xf>
    <xf borderId="7" fillId="146" fontId="24" numFmtId="164" xfId="0" applyAlignment="1" applyBorder="1" applyFill="1" applyFont="1" applyNumberFormat="1">
      <alignment horizontal="right" vertical="bottom"/>
    </xf>
    <xf borderId="7" fillId="147" fontId="24" numFmtId="164" xfId="0" applyAlignment="1" applyBorder="1" applyFill="1" applyFont="1" applyNumberFormat="1">
      <alignment horizontal="right" vertical="bottom"/>
    </xf>
    <xf borderId="7" fillId="148" fontId="24" numFmtId="164" xfId="0" applyAlignment="1" applyBorder="1" applyFill="1" applyFont="1" applyNumberFormat="1">
      <alignment horizontal="right" vertical="bottom"/>
    </xf>
    <xf borderId="7" fillId="149" fontId="24" numFmtId="164" xfId="0" applyAlignment="1" applyBorder="1" applyFill="1" applyFont="1" applyNumberFormat="1">
      <alignment horizontal="right" vertical="bottom"/>
    </xf>
    <xf borderId="7" fillId="150" fontId="24" numFmtId="164" xfId="0" applyAlignment="1" applyBorder="1" applyFill="1" applyFont="1" applyNumberFormat="1">
      <alignment horizontal="right" vertical="bottom"/>
    </xf>
    <xf borderId="7" fillId="151" fontId="24" numFmtId="164" xfId="0" applyAlignment="1" applyBorder="1" applyFill="1" applyFont="1" applyNumberFormat="1">
      <alignment horizontal="right" vertical="bottom"/>
    </xf>
    <xf borderId="7" fillId="152" fontId="24" numFmtId="164" xfId="0" applyAlignment="1" applyBorder="1" applyFill="1" applyFont="1" applyNumberFormat="1">
      <alignment horizontal="right" vertical="bottom"/>
    </xf>
    <xf borderId="7" fillId="153" fontId="24" numFmtId="164" xfId="0" applyAlignment="1" applyBorder="1" applyFill="1" applyFont="1" applyNumberFormat="1">
      <alignment horizontal="right" vertical="bottom"/>
    </xf>
    <xf borderId="7" fillId="154" fontId="24" numFmtId="164" xfId="0" applyAlignment="1" applyBorder="1" applyFill="1" applyFont="1" applyNumberFormat="1">
      <alignment horizontal="right" vertical="bottom"/>
    </xf>
    <xf borderId="7" fillId="155" fontId="24" numFmtId="164" xfId="0" applyAlignment="1" applyBorder="1" applyFill="1" applyFont="1" applyNumberFormat="1">
      <alignment horizontal="right" vertical="bottom"/>
    </xf>
    <xf borderId="7" fillId="156" fontId="24" numFmtId="164" xfId="0" applyAlignment="1" applyBorder="1" applyFill="1" applyFont="1" applyNumberFormat="1">
      <alignment horizontal="right" vertical="bottom"/>
    </xf>
    <xf borderId="7" fillId="157" fontId="24" numFmtId="164" xfId="0" applyAlignment="1" applyBorder="1" applyFill="1" applyFont="1" applyNumberFormat="1">
      <alignment horizontal="right" vertical="bottom"/>
    </xf>
    <xf borderId="7" fillId="158" fontId="24" numFmtId="164" xfId="0" applyAlignment="1" applyBorder="1" applyFill="1" applyFont="1" applyNumberFormat="1">
      <alignment horizontal="right" vertical="bottom"/>
    </xf>
    <xf borderId="7" fillId="159" fontId="24" numFmtId="164" xfId="0" applyAlignment="1" applyBorder="1" applyFill="1" applyFont="1" applyNumberFormat="1">
      <alignment horizontal="right" vertical="bottom"/>
    </xf>
    <xf borderId="7" fillId="160" fontId="24" numFmtId="164" xfId="0" applyAlignment="1" applyBorder="1" applyFill="1" applyFont="1" applyNumberFormat="1">
      <alignment horizontal="right" vertical="bottom"/>
    </xf>
    <xf borderId="7" fillId="0" fontId="24" numFmtId="164" xfId="0" applyAlignment="1" applyBorder="1" applyFont="1" applyNumberFormat="1">
      <alignment readingOrder="0" vertical="bottom"/>
    </xf>
    <xf borderId="7" fillId="161" fontId="24" numFmtId="164" xfId="0" applyAlignment="1" applyBorder="1" applyFill="1" applyFont="1" applyNumberFormat="1">
      <alignment horizontal="right" vertical="bottom"/>
    </xf>
    <xf borderId="7" fillId="162" fontId="24" numFmtId="164" xfId="0" applyAlignment="1" applyBorder="1" applyFill="1" applyFont="1" applyNumberFormat="1">
      <alignment horizontal="right" vertical="bottom"/>
    </xf>
    <xf borderId="7" fillId="163" fontId="24" numFmtId="164" xfId="0" applyAlignment="1" applyBorder="1" applyFill="1" applyFont="1" applyNumberFormat="1">
      <alignment horizontal="right" vertical="bottom"/>
    </xf>
    <xf borderId="7" fillId="164" fontId="24" numFmtId="164" xfId="0" applyAlignment="1" applyBorder="1" applyFill="1" applyFont="1" applyNumberFormat="1">
      <alignment horizontal="right" vertical="bottom"/>
    </xf>
    <xf borderId="7" fillId="165" fontId="24" numFmtId="164" xfId="0" applyAlignment="1" applyBorder="1" applyFill="1" applyFont="1" applyNumberFormat="1">
      <alignment horizontal="right" vertical="bottom"/>
    </xf>
    <xf borderId="7" fillId="166" fontId="24" numFmtId="164" xfId="0" applyAlignment="1" applyBorder="1" applyFill="1" applyFont="1" applyNumberFormat="1">
      <alignment horizontal="right" vertical="bottom"/>
    </xf>
    <xf borderId="7" fillId="167" fontId="24" numFmtId="164" xfId="0" applyAlignment="1" applyBorder="1" applyFill="1" applyFont="1" applyNumberFormat="1">
      <alignment horizontal="right" vertical="bottom"/>
    </xf>
    <xf borderId="7" fillId="168" fontId="24" numFmtId="164" xfId="0" applyAlignment="1" applyBorder="1" applyFill="1" applyFont="1" applyNumberFormat="1">
      <alignment horizontal="right" readingOrder="0" vertical="bottom"/>
    </xf>
    <xf borderId="7" fillId="169" fontId="24" numFmtId="164" xfId="0" applyAlignment="1" applyBorder="1" applyFill="1" applyFont="1" applyNumberFormat="1">
      <alignment horizontal="right" readingOrder="0" vertical="bottom"/>
    </xf>
    <xf borderId="7" fillId="170" fontId="24" numFmtId="164" xfId="0" applyAlignment="1" applyBorder="1" applyFill="1" applyFont="1" applyNumberFormat="1">
      <alignment horizontal="right" readingOrder="0" vertical="bottom"/>
    </xf>
    <xf borderId="7" fillId="171" fontId="24" numFmtId="164" xfId="0" applyAlignment="1" applyBorder="1" applyFill="1" applyFont="1" applyNumberFormat="1">
      <alignment horizontal="right" vertical="bottom"/>
    </xf>
    <xf borderId="7" fillId="172" fontId="24" numFmtId="164" xfId="0" applyAlignment="1" applyBorder="1" applyFill="1" applyFont="1" applyNumberFormat="1">
      <alignment horizontal="right" vertical="bottom"/>
    </xf>
    <xf borderId="7" fillId="173" fontId="24" numFmtId="164" xfId="0" applyAlignment="1" applyBorder="1" applyFill="1" applyFont="1" applyNumberFormat="1">
      <alignment horizontal="right" vertical="bottom"/>
    </xf>
    <xf borderId="7" fillId="174" fontId="24" numFmtId="164" xfId="0" applyAlignment="1" applyBorder="1" applyFill="1" applyFont="1" applyNumberFormat="1">
      <alignment horizontal="right" vertical="bottom"/>
    </xf>
    <xf borderId="7" fillId="175" fontId="24" numFmtId="164" xfId="0" applyAlignment="1" applyBorder="1" applyFill="1" applyFont="1" applyNumberFormat="1">
      <alignment horizontal="right" vertical="bottom"/>
    </xf>
    <xf borderId="7" fillId="176" fontId="24" numFmtId="164" xfId="0" applyAlignment="1" applyBorder="1" applyFill="1" applyFont="1" applyNumberFormat="1">
      <alignment horizontal="right" vertical="bottom"/>
    </xf>
    <xf borderId="7" fillId="177" fontId="24" numFmtId="164" xfId="0" applyAlignment="1" applyBorder="1" applyFill="1" applyFont="1" applyNumberFormat="1">
      <alignment horizontal="right" vertical="bottom"/>
    </xf>
    <xf borderId="7" fillId="178" fontId="24" numFmtId="164" xfId="0" applyAlignment="1" applyBorder="1" applyFill="1" applyFont="1" applyNumberFormat="1">
      <alignment horizontal="right" vertical="bottom"/>
    </xf>
    <xf borderId="7" fillId="179" fontId="24" numFmtId="164" xfId="0" applyAlignment="1" applyBorder="1" applyFill="1" applyFont="1" applyNumberFormat="1">
      <alignment horizontal="right" vertical="bottom"/>
    </xf>
    <xf borderId="7" fillId="180" fontId="24" numFmtId="164" xfId="0" applyAlignment="1" applyBorder="1" applyFill="1" applyFont="1" applyNumberFormat="1">
      <alignment horizontal="right" vertical="bottom"/>
    </xf>
    <xf borderId="7" fillId="181" fontId="24" numFmtId="164" xfId="0" applyAlignment="1" applyBorder="1" applyFill="1" applyFont="1" applyNumberFormat="1">
      <alignment horizontal="right" vertical="bottom"/>
    </xf>
    <xf borderId="7" fillId="182" fontId="24" numFmtId="164" xfId="0" applyAlignment="1" applyBorder="1" applyFill="1" applyFont="1" applyNumberFormat="1">
      <alignment horizontal="right" vertical="bottom"/>
    </xf>
    <xf borderId="7" fillId="183" fontId="24" numFmtId="164" xfId="0" applyAlignment="1" applyBorder="1" applyFill="1" applyFont="1" applyNumberFormat="1">
      <alignment horizontal="right" vertical="bottom"/>
    </xf>
    <xf borderId="7" fillId="184" fontId="24" numFmtId="164" xfId="0" applyAlignment="1" applyBorder="1" applyFill="1" applyFont="1" applyNumberFormat="1">
      <alignment horizontal="right" vertical="bottom"/>
    </xf>
    <xf borderId="7" fillId="185" fontId="24" numFmtId="164" xfId="0" applyAlignment="1" applyBorder="1" applyFill="1" applyFont="1" applyNumberFormat="1">
      <alignment horizontal="right" vertical="bottom"/>
    </xf>
    <xf borderId="7" fillId="186" fontId="24" numFmtId="164" xfId="0" applyAlignment="1" applyBorder="1" applyFill="1" applyFont="1" applyNumberFormat="1">
      <alignment horizontal="right" vertical="bottom"/>
    </xf>
    <xf borderId="7" fillId="187" fontId="24" numFmtId="164" xfId="0" applyAlignment="1" applyBorder="1" applyFill="1" applyFont="1" applyNumberFormat="1">
      <alignment horizontal="right" vertical="bottom"/>
    </xf>
    <xf borderId="7" fillId="188" fontId="24" numFmtId="164" xfId="0" applyAlignment="1" applyBorder="1" applyFill="1" applyFont="1" applyNumberFormat="1">
      <alignment horizontal="right" readingOrder="0" vertical="bottom"/>
    </xf>
    <xf borderId="7" fillId="189" fontId="24" numFmtId="164" xfId="0" applyAlignment="1" applyBorder="1" applyFill="1" applyFont="1" applyNumberFormat="1">
      <alignment horizontal="right" readingOrder="0" vertical="bottom"/>
    </xf>
    <xf borderId="7" fillId="128" fontId="24" numFmtId="164" xfId="0" applyAlignment="1" applyBorder="1" applyFont="1" applyNumberFormat="1">
      <alignment horizontal="right" readingOrder="0" vertical="bottom"/>
    </xf>
    <xf borderId="7" fillId="190" fontId="24" numFmtId="164" xfId="0" applyAlignment="1" applyBorder="1" applyFill="1" applyFont="1" applyNumberFormat="1">
      <alignment horizontal="right" vertical="bottom"/>
    </xf>
    <xf borderId="7" fillId="191" fontId="24" numFmtId="164" xfId="0" applyAlignment="1" applyBorder="1" applyFill="1" applyFont="1" applyNumberFormat="1">
      <alignment horizontal="right" vertical="bottom"/>
    </xf>
    <xf borderId="7" fillId="192" fontId="24" numFmtId="164" xfId="0" applyAlignment="1" applyBorder="1" applyFill="1" applyFont="1" applyNumberFormat="1">
      <alignment horizontal="right" vertical="bottom"/>
    </xf>
    <xf borderId="7" fillId="193" fontId="24" numFmtId="164" xfId="0" applyAlignment="1" applyBorder="1" applyFill="1" applyFont="1" applyNumberFormat="1">
      <alignment horizontal="right" vertical="bottom"/>
    </xf>
    <xf borderId="7" fillId="194" fontId="24" numFmtId="164" xfId="0" applyAlignment="1" applyBorder="1" applyFill="1" applyFont="1" applyNumberFormat="1">
      <alignment horizontal="right" vertical="bottom"/>
    </xf>
    <xf borderId="7" fillId="195" fontId="24" numFmtId="164" xfId="0" applyAlignment="1" applyBorder="1" applyFill="1" applyFont="1" applyNumberFormat="1">
      <alignment horizontal="right" vertical="bottom"/>
    </xf>
    <xf borderId="7" fillId="196" fontId="24" numFmtId="164" xfId="0" applyAlignment="1" applyBorder="1" applyFill="1" applyFont="1" applyNumberFormat="1">
      <alignment horizontal="right" vertical="bottom"/>
    </xf>
    <xf borderId="7" fillId="197" fontId="24" numFmtId="164" xfId="0" applyAlignment="1" applyBorder="1" applyFill="1" applyFont="1" applyNumberFormat="1">
      <alignment horizontal="right" vertical="bottom"/>
    </xf>
    <xf borderId="7" fillId="198" fontId="24" numFmtId="164" xfId="0" applyAlignment="1" applyBorder="1" applyFill="1" applyFont="1" applyNumberFormat="1">
      <alignment horizontal="right" vertical="bottom"/>
    </xf>
    <xf borderId="7" fillId="199" fontId="24" numFmtId="164" xfId="0" applyAlignment="1" applyBorder="1" applyFill="1" applyFont="1" applyNumberFormat="1">
      <alignment horizontal="right" vertical="bottom"/>
    </xf>
    <xf borderId="7" fillId="200" fontId="24" numFmtId="164" xfId="0" applyAlignment="1" applyBorder="1" applyFill="1" applyFont="1" applyNumberFormat="1">
      <alignment horizontal="right" readingOrder="0" vertical="bottom"/>
    </xf>
    <xf borderId="7" fillId="167" fontId="24" numFmtId="164" xfId="0" applyAlignment="1" applyBorder="1" applyFont="1" applyNumberFormat="1">
      <alignment horizontal="right" readingOrder="0" vertical="bottom"/>
    </xf>
    <xf borderId="7" fillId="186" fontId="24" numFmtId="164" xfId="0" applyAlignment="1" applyBorder="1" applyFont="1" applyNumberFormat="1">
      <alignment horizontal="right" readingOrder="0" vertical="bottom"/>
    </xf>
    <xf borderId="7" fillId="201" fontId="24" numFmtId="164" xfId="0" applyAlignment="1" applyBorder="1" applyFill="1" applyFont="1" applyNumberFormat="1">
      <alignment horizontal="right" readingOrder="0" vertical="bottom"/>
    </xf>
    <xf borderId="7" fillId="202" fontId="24" numFmtId="164" xfId="0" applyAlignment="1" applyBorder="1" applyFill="1" applyFont="1" applyNumberFormat="1">
      <alignment horizontal="right" readingOrder="0" vertical="bottom"/>
    </xf>
    <xf borderId="7" fillId="203" fontId="24" numFmtId="164" xfId="0" applyAlignment="1" applyBorder="1" applyFill="1" applyFont="1" applyNumberFormat="1">
      <alignment horizontal="right" readingOrder="0" vertical="bottom"/>
    </xf>
    <xf borderId="7" fillId="204" fontId="24" numFmtId="164" xfId="0" applyAlignment="1" applyBorder="1" applyFill="1" applyFont="1" applyNumberFormat="1">
      <alignment horizontal="right" readingOrder="0" vertical="bottom"/>
    </xf>
    <xf borderId="7" fillId="148" fontId="24" numFmtId="164" xfId="0" applyAlignment="1" applyBorder="1" applyFont="1" applyNumberFormat="1">
      <alignment horizontal="right" readingOrder="0" vertical="bottom"/>
    </xf>
    <xf borderId="7" fillId="205" fontId="24" numFmtId="164" xfId="0" applyAlignment="1" applyBorder="1" applyFill="1" applyFont="1" applyNumberFormat="1">
      <alignment horizontal="right" vertical="bottom"/>
    </xf>
    <xf borderId="7" fillId="206" fontId="24" numFmtId="164" xfId="0" applyAlignment="1" applyBorder="1" applyFill="1" applyFont="1" applyNumberFormat="1">
      <alignment horizontal="right" vertical="bottom"/>
    </xf>
    <xf borderId="7" fillId="207" fontId="24" numFmtId="164" xfId="0" applyAlignment="1" applyBorder="1" applyFill="1" applyFont="1" applyNumberFormat="1">
      <alignment horizontal="right" vertical="bottom"/>
    </xf>
    <xf borderId="7" fillId="208" fontId="24" numFmtId="164" xfId="0" applyAlignment="1" applyBorder="1" applyFill="1" applyFont="1" applyNumberFormat="1">
      <alignment horizontal="right" vertical="bottom"/>
    </xf>
    <xf borderId="7" fillId="0" fontId="24" numFmtId="164" xfId="0" applyAlignment="1" applyBorder="1" applyFont="1" applyNumberFormat="1">
      <alignment horizontal="right" vertical="bottom"/>
    </xf>
    <xf borderId="7" fillId="209" fontId="24" numFmtId="164" xfId="0" applyAlignment="1" applyBorder="1" applyFill="1" applyFont="1" applyNumberFormat="1">
      <alignment horizontal="right" vertical="bottom"/>
    </xf>
    <xf borderId="7" fillId="210" fontId="24" numFmtId="164" xfId="0" applyAlignment="1" applyBorder="1" applyFill="1" applyFont="1" applyNumberFormat="1">
      <alignment horizontal="right" vertical="bottom"/>
    </xf>
    <xf borderId="7" fillId="211" fontId="24" numFmtId="164" xfId="0" applyAlignment="1" applyBorder="1" applyFill="1" applyFont="1" applyNumberFormat="1">
      <alignment horizontal="right" vertical="bottom"/>
    </xf>
    <xf borderId="7" fillId="212" fontId="24" numFmtId="164" xfId="0" applyAlignment="1" applyBorder="1" applyFill="1" applyFont="1" applyNumberFormat="1">
      <alignment horizontal="right" vertical="bottom"/>
    </xf>
    <xf borderId="7" fillId="213" fontId="24" numFmtId="164" xfId="0" applyAlignment="1" applyBorder="1" applyFill="1" applyFont="1" applyNumberFormat="1">
      <alignment horizontal="right" vertical="bottom"/>
    </xf>
    <xf borderId="7" fillId="214" fontId="24" numFmtId="164" xfId="0" applyAlignment="1" applyBorder="1" applyFill="1" applyFont="1" applyNumberFormat="1">
      <alignment horizontal="right" vertical="bottom"/>
    </xf>
    <xf borderId="7" fillId="215" fontId="24" numFmtId="164" xfId="0" applyAlignment="1" applyBorder="1" applyFill="1" applyFont="1" applyNumberFormat="1">
      <alignment horizontal="right" vertical="bottom"/>
    </xf>
    <xf borderId="7" fillId="216" fontId="2" numFmtId="164" xfId="0" applyAlignment="1" applyBorder="1" applyFill="1" applyFont="1" applyNumberFormat="1">
      <alignment horizontal="right" vertical="bottom"/>
    </xf>
    <xf borderId="7" fillId="217" fontId="24" numFmtId="164" xfId="0" applyAlignment="1" applyBorder="1" applyFill="1" applyFont="1" applyNumberFormat="1">
      <alignment horizontal="right" vertical="bottom"/>
    </xf>
    <xf borderId="7" fillId="218" fontId="24" numFmtId="164" xfId="0" applyAlignment="1" applyBorder="1" applyFill="1" applyFont="1" applyNumberFormat="1">
      <alignment horizontal="right" vertical="bottom"/>
    </xf>
    <xf borderId="7" fillId="219" fontId="24" numFmtId="164" xfId="0" applyAlignment="1" applyBorder="1" applyFill="1" applyFont="1" applyNumberFormat="1">
      <alignment horizontal="right" vertical="bottom"/>
    </xf>
    <xf borderId="7" fillId="220" fontId="24" numFmtId="164" xfId="0" applyAlignment="1" applyBorder="1" applyFill="1" applyFont="1" applyNumberFormat="1">
      <alignment horizontal="right" vertical="bottom"/>
    </xf>
    <xf borderId="7" fillId="221" fontId="24" numFmtId="164" xfId="0" applyAlignment="1" applyBorder="1" applyFill="1" applyFont="1" applyNumberFormat="1">
      <alignment horizontal="right" vertical="bottom"/>
    </xf>
    <xf borderId="7" fillId="222" fontId="24" numFmtId="164" xfId="0" applyAlignment="1" applyBorder="1" applyFill="1" applyFont="1" applyNumberFormat="1">
      <alignment horizontal="right" vertical="bottom"/>
    </xf>
    <xf borderId="7" fillId="223" fontId="24" numFmtId="164" xfId="0" applyAlignment="1" applyBorder="1" applyFill="1" applyFont="1" applyNumberFormat="1">
      <alignment horizontal="right" vertical="bottom"/>
    </xf>
    <xf borderId="7" fillId="224" fontId="24" numFmtId="164" xfId="0" applyAlignment="1" applyBorder="1" applyFill="1" applyFont="1" applyNumberFormat="1">
      <alignment horizontal="right" vertical="bottom"/>
    </xf>
    <xf borderId="7" fillId="201" fontId="24" numFmtId="164" xfId="0" applyAlignment="1" applyBorder="1" applyFont="1" applyNumberFormat="1">
      <alignment horizontal="right" vertical="bottom"/>
    </xf>
    <xf borderId="7" fillId="225" fontId="24" numFmtId="164" xfId="0" applyAlignment="1" applyBorder="1" applyFill="1" applyFont="1" applyNumberFormat="1">
      <alignment horizontal="right" vertical="bottom"/>
    </xf>
    <xf borderId="7" fillId="149" fontId="24" numFmtId="164" xfId="0" applyAlignment="1" applyBorder="1" applyFont="1" applyNumberFormat="1">
      <alignment horizontal="right" readingOrder="0" vertical="bottom"/>
    </xf>
    <xf borderId="7" fillId="150" fontId="24" numFmtId="164" xfId="0" applyAlignment="1" applyBorder="1" applyFont="1" applyNumberFormat="1">
      <alignment horizontal="right" readingOrder="0" vertical="bottom"/>
    </xf>
    <xf borderId="7" fillId="151" fontId="24" numFmtId="164" xfId="0" applyAlignment="1" applyBorder="1" applyFont="1" applyNumberFormat="1">
      <alignment horizontal="right" readingOrder="0" vertical="bottom"/>
    </xf>
    <xf borderId="7" fillId="152" fontId="24" numFmtId="164" xfId="0" applyAlignment="1" applyBorder="1" applyFont="1" applyNumberFormat="1">
      <alignment horizontal="right" readingOrder="0" vertical="bottom"/>
    </xf>
    <xf borderId="7" fillId="200" fontId="24" numFmtId="164" xfId="0" applyAlignment="1" applyBorder="1" applyFont="1" applyNumberFormat="1">
      <alignment horizontal="right" vertical="bottom"/>
    </xf>
    <xf borderId="7" fillId="226" fontId="24" numFmtId="164" xfId="0" applyAlignment="1" applyBorder="1" applyFill="1" applyFont="1" applyNumberFormat="1">
      <alignment horizontal="right" vertical="bottom"/>
    </xf>
    <xf borderId="7" fillId="227" fontId="24" numFmtId="164" xfId="0" applyAlignment="1" applyBorder="1" applyFill="1" applyFont="1" applyNumberFormat="1">
      <alignment horizontal="right" vertical="bottom"/>
    </xf>
    <xf borderId="7" fillId="228" fontId="24" numFmtId="164" xfId="0" applyAlignment="1" applyBorder="1" applyFill="1" applyFont="1" applyNumberFormat="1">
      <alignment horizontal="right" vertical="bottom"/>
    </xf>
    <xf borderId="7" fillId="229" fontId="24" numFmtId="164" xfId="0" applyAlignment="1" applyBorder="1" applyFill="1" applyFont="1" applyNumberFormat="1">
      <alignment horizontal="right" vertical="bottom"/>
    </xf>
    <xf borderId="7" fillId="230" fontId="24" numFmtId="164" xfId="0" applyAlignment="1" applyBorder="1" applyFill="1" applyFont="1" applyNumberFormat="1">
      <alignment horizontal="right" vertical="bottom"/>
    </xf>
    <xf borderId="7" fillId="231" fontId="24" numFmtId="164" xfId="0" applyAlignment="1" applyBorder="1" applyFill="1" applyFont="1" applyNumberFormat="1">
      <alignment horizontal="right" vertical="bottom"/>
    </xf>
    <xf borderId="7" fillId="232" fontId="24" numFmtId="164" xfId="0" applyAlignment="1" applyBorder="1" applyFill="1" applyFont="1" applyNumberFormat="1">
      <alignment horizontal="right" vertical="bottom"/>
    </xf>
    <xf borderId="7" fillId="233" fontId="24" numFmtId="164" xfId="0" applyAlignment="1" applyBorder="1" applyFill="1" applyFont="1" applyNumberFormat="1">
      <alignment horizontal="right" vertical="bottom"/>
    </xf>
    <xf borderId="7" fillId="202" fontId="24" numFmtId="164" xfId="0" applyAlignment="1" applyBorder="1" applyFont="1" applyNumberFormat="1">
      <alignment horizontal="right" vertical="bottom"/>
    </xf>
    <xf borderId="7" fillId="234" fontId="24" numFmtId="164" xfId="0" applyAlignment="1" applyBorder="1" applyFill="1" applyFont="1" applyNumberFormat="1">
      <alignment horizontal="right" vertical="bottom"/>
    </xf>
    <xf borderId="7" fillId="235" fontId="24" numFmtId="164" xfId="0" applyAlignment="1" applyBorder="1" applyFill="1" applyFont="1" applyNumberFormat="1">
      <alignment horizontal="right" vertical="bottom"/>
    </xf>
    <xf borderId="7" fillId="236" fontId="24" numFmtId="164" xfId="0" applyAlignment="1" applyBorder="1" applyFill="1" applyFont="1" applyNumberFormat="1">
      <alignment horizontal="right" vertical="bottom"/>
    </xf>
    <xf borderId="7" fillId="237" fontId="24" numFmtId="164" xfId="0" applyAlignment="1" applyBorder="1" applyFill="1" applyFont="1" applyNumberFormat="1">
      <alignment horizontal="right" vertical="bottom"/>
    </xf>
    <xf borderId="7" fillId="238" fontId="24" numFmtId="164" xfId="0" applyAlignment="1" applyBorder="1" applyFill="1" applyFont="1" applyNumberFormat="1">
      <alignment horizontal="right" vertical="bottom"/>
    </xf>
    <xf borderId="7" fillId="239" fontId="24" numFmtId="164" xfId="0" applyAlignment="1" applyBorder="1" applyFill="1" applyFont="1" applyNumberFormat="1">
      <alignment horizontal="right" vertical="bottom"/>
    </xf>
    <xf borderId="7" fillId="240" fontId="2" numFmtId="164" xfId="0" applyAlignment="1" applyBorder="1" applyFill="1" applyFont="1" applyNumberFormat="1">
      <alignment horizontal="right" vertical="bottom"/>
    </xf>
    <xf borderId="7" fillId="241" fontId="24" numFmtId="164" xfId="0" applyAlignment="1" applyBorder="1" applyFill="1" applyFont="1" applyNumberFormat="1">
      <alignment horizontal="right" vertical="bottom"/>
    </xf>
    <xf borderId="7" fillId="242" fontId="24" numFmtId="164" xfId="0" applyAlignment="1" applyBorder="1" applyFill="1" applyFont="1" applyNumberFormat="1">
      <alignment horizontal="right" vertical="bottom"/>
    </xf>
    <xf borderId="7" fillId="243" fontId="24" numFmtId="164" xfId="0" applyAlignment="1" applyBorder="1" applyFill="1" applyFont="1" applyNumberFormat="1">
      <alignment horizontal="right" vertical="bottom"/>
    </xf>
    <xf borderId="7" fillId="244" fontId="24" numFmtId="164" xfId="0" applyAlignment="1" applyBorder="1" applyFill="1" applyFont="1" applyNumberFormat="1">
      <alignment horizontal="right" vertical="bottom"/>
    </xf>
    <xf borderId="7" fillId="245" fontId="24" numFmtId="164" xfId="0" applyAlignment="1" applyBorder="1" applyFill="1" applyFont="1" applyNumberFormat="1">
      <alignment horizontal="right" vertical="bottom"/>
    </xf>
    <xf borderId="7" fillId="246" fontId="24" numFmtId="164" xfId="0" applyAlignment="1" applyBorder="1" applyFill="1" applyFont="1" applyNumberFormat="1">
      <alignment horizontal="right" vertical="bottom"/>
    </xf>
    <xf borderId="7" fillId="247" fontId="24" numFmtId="164" xfId="0" applyAlignment="1" applyBorder="1" applyFill="1" applyFont="1" applyNumberFormat="1">
      <alignment horizontal="right" vertical="bottom"/>
    </xf>
    <xf borderId="7" fillId="248" fontId="24" numFmtId="164" xfId="0" applyAlignment="1" applyBorder="1" applyFill="1" applyFont="1" applyNumberFormat="1">
      <alignment horizontal="right" vertical="bottom"/>
    </xf>
    <xf borderId="7" fillId="249" fontId="24" numFmtId="164" xfId="0" applyAlignment="1" applyBorder="1" applyFill="1" applyFont="1" applyNumberFormat="1">
      <alignment horizontal="right" vertical="bottom"/>
    </xf>
    <xf borderId="7" fillId="250" fontId="24" numFmtId="164" xfId="0" applyAlignment="1" applyBorder="1" applyFill="1" applyFont="1" applyNumberFormat="1">
      <alignment horizontal="right" vertical="bottom"/>
    </xf>
    <xf borderId="7" fillId="251" fontId="24" numFmtId="164" xfId="0" applyAlignment="1" applyBorder="1" applyFill="1" applyFont="1" applyNumberFormat="1">
      <alignment horizontal="right" vertical="bottom"/>
    </xf>
    <xf borderId="7" fillId="252" fontId="24" numFmtId="164" xfId="0" applyAlignment="1" applyBorder="1" applyFill="1" applyFont="1" applyNumberFormat="1">
      <alignment horizontal="right" vertical="bottom"/>
    </xf>
    <xf borderId="7" fillId="253" fontId="24" numFmtId="164" xfId="0" applyAlignment="1" applyBorder="1" applyFill="1" applyFont="1" applyNumberFormat="1">
      <alignment horizontal="right" vertical="bottom"/>
    </xf>
    <xf borderId="7" fillId="207" fontId="24" numFmtId="164" xfId="0" applyAlignment="1" applyBorder="1" applyFont="1" applyNumberFormat="1">
      <alignment horizontal="right" readingOrder="0" vertical="bottom"/>
    </xf>
    <xf borderId="7" fillId="254" fontId="24" numFmtId="164" xfId="0" applyAlignment="1" applyBorder="1" applyFill="1" applyFont="1" applyNumberFormat="1">
      <alignment horizontal="right" readingOrder="0" vertical="bottom"/>
    </xf>
    <xf borderId="7" fillId="177" fontId="24" numFmtId="164" xfId="0" applyAlignment="1" applyBorder="1" applyFont="1" applyNumberFormat="1">
      <alignment horizontal="right" readingOrder="0" vertical="bottom"/>
    </xf>
    <xf borderId="7" fillId="227" fontId="24" numFmtId="164" xfId="0" applyAlignment="1" applyBorder="1" applyFont="1" applyNumberFormat="1">
      <alignment horizontal="right" readingOrder="0" vertical="bottom"/>
    </xf>
    <xf borderId="7" fillId="255" fontId="24" numFmtId="164" xfId="0" applyAlignment="1" applyBorder="1" applyFill="1" applyFont="1" applyNumberFormat="1">
      <alignment horizontal="right" vertical="bottom"/>
    </xf>
    <xf borderId="7" fillId="253" fontId="24" numFmtId="164" xfId="0" applyAlignment="1" applyBorder="1" applyFont="1" applyNumberFormat="1">
      <alignment horizontal="right" readingOrder="0" vertical="bottom"/>
    </xf>
    <xf borderId="7" fillId="256" fontId="24" numFmtId="164" xfId="0" applyAlignment="1" applyBorder="1" applyFill="1" applyFont="1" applyNumberFormat="1">
      <alignment horizontal="right" readingOrder="0" vertical="bottom"/>
    </xf>
    <xf borderId="7" fillId="257" fontId="24" numFmtId="164" xfId="0" applyAlignment="1" applyBorder="1" applyFill="1" applyFont="1" applyNumberFormat="1">
      <alignment horizontal="right" readingOrder="0" vertical="bottom"/>
    </xf>
    <xf borderId="7" fillId="248" fontId="24" numFmtId="164" xfId="0" applyAlignment="1" applyBorder="1" applyFont="1" applyNumberFormat="1">
      <alignment horizontal="right" readingOrder="0" vertical="bottom"/>
    </xf>
    <xf borderId="7" fillId="239" fontId="24" numFmtId="164" xfId="0" applyAlignment="1" applyBorder="1" applyFont="1" applyNumberFormat="1">
      <alignment horizontal="right" readingOrder="0" vertical="bottom"/>
    </xf>
    <xf borderId="7" fillId="258" fontId="24" numFmtId="164" xfId="0" applyAlignment="1" applyBorder="1" applyFill="1" applyFont="1" applyNumberFormat="1">
      <alignment horizontal="right" readingOrder="0" vertical="bottom"/>
    </xf>
    <xf borderId="7" fillId="238" fontId="24" numFmtId="164" xfId="0" applyAlignment="1" applyBorder="1" applyFont="1" applyNumberFormat="1">
      <alignment horizontal="right" readingOrder="0" vertical="bottom"/>
    </xf>
    <xf borderId="7" fillId="259" fontId="24" numFmtId="164" xfId="0" applyAlignment="1" applyBorder="1" applyFill="1" applyFont="1" applyNumberFormat="1">
      <alignment horizontal="right" readingOrder="0" vertical="bottom"/>
    </xf>
    <xf borderId="7" fillId="260" fontId="24" numFmtId="164" xfId="0" applyAlignment="1" applyBorder="1" applyFill="1" applyFont="1" applyNumberFormat="1">
      <alignment horizontal="right" vertical="bottom"/>
    </xf>
    <xf borderId="7" fillId="261" fontId="24" numFmtId="164" xfId="0" applyAlignment="1" applyBorder="1" applyFill="1" applyFont="1" applyNumberFormat="1">
      <alignment horizontal="right" vertical="bottom"/>
    </xf>
    <xf borderId="7" fillId="262" fontId="24" numFmtId="164" xfId="0" applyAlignment="1" applyBorder="1" applyFill="1" applyFont="1" applyNumberFormat="1">
      <alignment horizontal="right" vertical="bottom"/>
    </xf>
    <xf borderId="7" fillId="263" fontId="24" numFmtId="164" xfId="0" applyAlignment="1" applyBorder="1" applyFill="1" applyFont="1" applyNumberFormat="1">
      <alignment horizontal="right" vertical="bottom"/>
    </xf>
    <xf borderId="7" fillId="264" fontId="24" numFmtId="164" xfId="0" applyAlignment="1" applyBorder="1" applyFill="1" applyFont="1" applyNumberFormat="1">
      <alignment horizontal="right" vertical="bottom"/>
    </xf>
    <xf borderId="7" fillId="265" fontId="24" numFmtId="164" xfId="0" applyAlignment="1" applyBorder="1" applyFill="1" applyFont="1" applyNumberFormat="1">
      <alignment horizontal="right" vertical="bottom"/>
    </xf>
    <xf borderId="7" fillId="266" fontId="24" numFmtId="164" xfId="0" applyAlignment="1" applyBorder="1" applyFill="1" applyFont="1" applyNumberFormat="1">
      <alignment horizontal="right" vertical="bottom"/>
    </xf>
    <xf borderId="7" fillId="267" fontId="24" numFmtId="164" xfId="0" applyAlignment="1" applyBorder="1" applyFill="1" applyFont="1" applyNumberFormat="1">
      <alignment horizontal="right" vertical="bottom"/>
    </xf>
    <xf borderId="7" fillId="268" fontId="24" numFmtId="164" xfId="0" applyAlignment="1" applyBorder="1" applyFill="1" applyFont="1" applyNumberFormat="1">
      <alignment horizontal="right" vertical="bottom"/>
    </xf>
    <xf borderId="7" fillId="269" fontId="24" numFmtId="164" xfId="0" applyAlignment="1" applyBorder="1" applyFill="1" applyFont="1" applyNumberFormat="1">
      <alignment horizontal="right" vertical="bottom"/>
    </xf>
    <xf borderId="7" fillId="270" fontId="24" numFmtId="164" xfId="0" applyAlignment="1" applyBorder="1" applyFill="1" applyFont="1" applyNumberFormat="1">
      <alignment horizontal="right" vertical="bottom"/>
    </xf>
    <xf borderId="7" fillId="271" fontId="24" numFmtId="164" xfId="0" applyAlignment="1" applyBorder="1" applyFill="1" applyFont="1" applyNumberFormat="1">
      <alignment horizontal="right" vertical="bottom"/>
    </xf>
    <xf borderId="7" fillId="272" fontId="24" numFmtId="164" xfId="0" applyAlignment="1" applyBorder="1" applyFill="1" applyFont="1" applyNumberFormat="1">
      <alignment horizontal="right" vertical="bottom"/>
    </xf>
    <xf borderId="7" fillId="273" fontId="24" numFmtId="164" xfId="0" applyAlignment="1" applyBorder="1" applyFill="1" applyFont="1" applyNumberFormat="1">
      <alignment horizontal="right" vertical="bottom"/>
    </xf>
    <xf borderId="7" fillId="274" fontId="24" numFmtId="164" xfId="0" applyAlignment="1" applyBorder="1" applyFill="1" applyFont="1" applyNumberFormat="1">
      <alignment horizontal="right" vertical="bottom"/>
    </xf>
    <xf borderId="7" fillId="254" fontId="24" numFmtId="164" xfId="0" applyAlignment="1" applyBorder="1" applyFont="1" applyNumberFormat="1">
      <alignment horizontal="right" vertical="bottom"/>
    </xf>
    <xf borderId="7" fillId="275" fontId="24" numFmtId="164" xfId="0" applyAlignment="1" applyBorder="1" applyFill="1" applyFont="1" applyNumberFormat="1">
      <alignment horizontal="right" vertical="bottom"/>
    </xf>
    <xf borderId="7" fillId="276" fontId="24" numFmtId="164" xfId="0" applyAlignment="1" applyBorder="1" applyFill="1" applyFont="1" applyNumberFormat="1">
      <alignment horizontal="right" vertical="bottom"/>
    </xf>
    <xf borderId="7" fillId="277" fontId="24" numFmtId="164" xfId="0" applyAlignment="1" applyBorder="1" applyFill="1" applyFont="1" applyNumberFormat="1">
      <alignment horizontal="right" vertical="bottom"/>
    </xf>
    <xf borderId="7" fillId="278" fontId="24" numFmtId="164" xfId="0" applyAlignment="1" applyBorder="1" applyFill="1" applyFont="1" applyNumberFormat="1">
      <alignment horizontal="right" vertical="bottom"/>
    </xf>
    <xf borderId="7" fillId="279" fontId="24" numFmtId="164" xfId="0" applyAlignment="1" applyBorder="1" applyFill="1" applyFont="1" applyNumberFormat="1">
      <alignment horizontal="right" vertical="bottom"/>
    </xf>
    <xf borderId="7" fillId="280" fontId="24" numFmtId="164" xfId="0" applyAlignment="1" applyBorder="1" applyFill="1" applyFont="1" applyNumberFormat="1">
      <alignment horizontal="right" vertical="bottom"/>
    </xf>
    <xf borderId="7" fillId="281" fontId="24" numFmtId="164" xfId="0" applyAlignment="1" applyBorder="1" applyFill="1" applyFont="1" applyNumberFormat="1">
      <alignment horizontal="right" vertical="bottom"/>
    </xf>
    <xf borderId="7" fillId="282" fontId="24" numFmtId="164" xfId="0" applyAlignment="1" applyBorder="1" applyFill="1" applyFont="1" applyNumberFormat="1">
      <alignment horizontal="right" vertical="bottom"/>
    </xf>
    <xf borderId="7" fillId="283" fontId="24" numFmtId="164" xfId="0" applyAlignment="1" applyBorder="1" applyFill="1" applyFont="1" applyNumberFormat="1">
      <alignment horizontal="right" vertical="bottom"/>
    </xf>
    <xf borderId="7" fillId="0" fontId="24" numFmtId="164" xfId="0" applyAlignment="1" applyBorder="1" applyFont="1" applyNumberFormat="1">
      <alignment readingOrder="0"/>
    </xf>
    <xf borderId="7" fillId="284" fontId="24" numFmtId="164" xfId="0" applyAlignment="1" applyBorder="1" applyFill="1" applyFont="1" applyNumberFormat="1">
      <alignment horizontal="right" vertical="bottom"/>
    </xf>
    <xf borderId="7" fillId="285" fontId="24" numFmtId="164" xfId="0" applyAlignment="1" applyBorder="1" applyFill="1" applyFont="1" applyNumberFormat="1">
      <alignment horizontal="right" vertical="bottom"/>
    </xf>
    <xf borderId="7" fillId="286" fontId="24" numFmtId="164" xfId="0" applyAlignment="1" applyBorder="1" applyFill="1" applyFont="1" applyNumberFormat="1">
      <alignment horizontal="right" vertical="bottom"/>
    </xf>
    <xf borderId="7" fillId="287" fontId="24" numFmtId="164" xfId="0" applyAlignment="1" applyBorder="1" applyFill="1" applyFont="1" applyNumberFormat="1">
      <alignment horizontal="right" vertical="bottom"/>
    </xf>
    <xf borderId="7" fillId="288" fontId="24" numFmtId="164" xfId="0" applyAlignment="1" applyBorder="1" applyFill="1" applyFont="1" applyNumberFormat="1">
      <alignment horizontal="right" vertical="bottom"/>
    </xf>
    <xf borderId="0" fillId="0" fontId="23" numFmtId="0" xfId="0" applyAlignment="1" applyFont="1">
      <alignment horizontal="left" readingOrder="0" shrinkToFit="0" vertical="top" wrapText="1"/>
    </xf>
    <xf borderId="0" fillId="0" fontId="2" numFmtId="164" xfId="0" applyAlignment="1" applyFont="1" applyNumberFormat="1">
      <alignment vertical="bottom"/>
    </xf>
    <xf borderId="0" fillId="0" fontId="3" numFmtId="164" xfId="0" applyFont="1" applyNumberFormat="1"/>
    <xf borderId="1" fillId="289" fontId="25" numFmtId="0" xfId="0" applyAlignment="1" applyBorder="1" applyFill="1" applyFont="1">
      <alignment horizontal="center" readingOrder="0" shrinkToFit="0" wrapText="1"/>
    </xf>
    <xf borderId="31" fillId="0" fontId="17" numFmtId="0" xfId="0" applyBorder="1" applyFont="1"/>
    <xf borderId="2" fillId="0" fontId="17" numFmtId="0" xfId="0" applyBorder="1" applyFont="1"/>
    <xf borderId="0" fillId="0" fontId="26" numFmtId="0" xfId="0" applyFont="1"/>
    <xf borderId="7" fillId="289" fontId="25" numFmtId="0" xfId="0" applyAlignment="1" applyBorder="1" applyFont="1">
      <alignment horizontal="center" readingOrder="0" vertical="center"/>
    </xf>
    <xf borderId="7" fillId="289" fontId="25" numFmtId="0" xfId="0" applyAlignment="1" applyBorder="1" applyFont="1">
      <alignment horizontal="center" readingOrder="0" shrinkToFit="0" vertical="center" wrapText="0"/>
    </xf>
    <xf borderId="7" fillId="289" fontId="25" numFmtId="0" xfId="0" applyAlignment="1" applyBorder="1" applyFont="1">
      <alignment horizontal="center" readingOrder="0" shrinkToFit="0" vertical="center" wrapText="1"/>
    </xf>
    <xf borderId="32" fillId="3" fontId="26" numFmtId="0" xfId="0" applyAlignment="1" applyBorder="1" applyFont="1">
      <alignment horizontal="left" readingOrder="0"/>
    </xf>
    <xf borderId="32" fillId="0" fontId="26" numFmtId="0" xfId="0" applyAlignment="1" applyBorder="1" applyFont="1">
      <alignment horizontal="center" readingOrder="0" shrinkToFit="0" wrapText="0"/>
    </xf>
    <xf borderId="32" fillId="0" fontId="26" numFmtId="0" xfId="0" applyAlignment="1" applyBorder="1" applyFont="1">
      <alignment horizontal="center" readingOrder="0" shrinkToFit="0" wrapText="1"/>
    </xf>
    <xf borderId="32" fillId="0" fontId="26" numFmtId="0" xfId="0" applyAlignment="1" applyBorder="1" applyFont="1">
      <alignment horizontal="center" readingOrder="0"/>
    </xf>
    <xf borderId="4" fillId="0" fontId="26" numFmtId="0" xfId="0" applyAlignment="1" applyBorder="1" applyFont="1">
      <alignment horizontal="center" readingOrder="0"/>
    </xf>
    <xf borderId="0" fillId="0" fontId="27" numFmtId="0" xfId="0" applyAlignment="1" applyFont="1">
      <alignment readingOrder="0"/>
    </xf>
    <xf borderId="32" fillId="0" fontId="26" numFmtId="0" xfId="0" applyAlignment="1" applyBorder="1" applyFont="1">
      <alignment horizontal="left" readingOrder="0" shrinkToFit="0" wrapText="1"/>
    </xf>
    <xf borderId="32" fillId="0" fontId="26" numFmtId="0" xfId="0" applyAlignment="1" applyBorder="1" applyFont="1">
      <alignment horizontal="center" vertical="bottom"/>
    </xf>
    <xf borderId="0" fillId="0" fontId="25" numFmtId="0" xfId="0" applyAlignment="1" applyFont="1">
      <alignment readingOrder="0"/>
    </xf>
    <xf borderId="0" fillId="0" fontId="25" numFmtId="0" xfId="0" applyAlignment="1" applyFont="1">
      <alignment readingOrder="0" shrinkToFit="0" wrapText="1"/>
    </xf>
    <xf borderId="0" fillId="0" fontId="26" numFmtId="0" xfId="0" applyAlignment="1" applyFont="1">
      <alignment horizontal="left" readingOrder="0" shrinkToFit="0" wrapText="1"/>
    </xf>
    <xf borderId="20" fillId="0" fontId="25" numFmtId="0" xfId="0" applyAlignment="1" applyBorder="1" applyFont="1">
      <alignment readingOrder="0" shrinkToFit="0" wrapText="1"/>
    </xf>
    <xf borderId="33" fillId="289" fontId="15" numFmtId="0" xfId="0" applyAlignment="1" applyBorder="1" applyFont="1">
      <alignment horizontal="center" readingOrder="0"/>
    </xf>
    <xf borderId="0" fillId="0" fontId="10" numFmtId="0" xfId="0" applyAlignment="1" applyFont="1">
      <alignment readingOrder="0"/>
    </xf>
    <xf borderId="0" fillId="0" fontId="26" numFmtId="0" xfId="0" applyAlignment="1" applyFont="1">
      <alignment horizontal="left" readingOrder="0"/>
    </xf>
    <xf borderId="32" fillId="0" fontId="26" numFmtId="0" xfId="0" applyAlignment="1" applyBorder="1" applyFont="1">
      <alignment horizontal="left" readingOrder="0"/>
    </xf>
    <xf borderId="32" fillId="0" fontId="26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33" fillId="0" fontId="26" numFmtId="0" xfId="0" applyAlignment="1" applyBorder="1" applyFont="1">
      <alignment horizontal="left" readingOrder="0"/>
    </xf>
    <xf borderId="33" fillId="0" fontId="26" numFmtId="0" xfId="0" applyAlignment="1" applyBorder="1" applyFont="1">
      <alignment readingOrder="0"/>
    </xf>
    <xf borderId="6" fillId="0" fontId="26" numFmtId="0" xfId="0" applyAlignment="1" applyBorder="1" applyFont="1">
      <alignment horizontal="center" readingOrder="0"/>
    </xf>
    <xf borderId="0" fillId="0" fontId="15" numFmtId="0" xfId="0" applyAlignment="1" applyFont="1">
      <alignment readingOrder="0"/>
    </xf>
    <xf borderId="0" fillId="0" fontId="10" numFmtId="0" xfId="0" applyFont="1"/>
    <xf borderId="4" fillId="3" fontId="26" numFmtId="0" xfId="0" applyAlignment="1" applyBorder="1" applyFont="1">
      <alignment horizontal="left" readingOrder="0"/>
    </xf>
    <xf borderId="4" fillId="0" fontId="26" numFmtId="0" xfId="0" applyAlignment="1" applyBorder="1" applyFont="1">
      <alignment horizontal="center" readingOrder="0" shrinkToFit="0" wrapText="0"/>
    </xf>
    <xf borderId="4" fillId="0" fontId="26" numFmtId="0" xfId="0" applyAlignment="1" applyBorder="1" applyFont="1">
      <alignment horizontal="center" readingOrder="0" shrinkToFit="0" wrapText="1"/>
    </xf>
    <xf borderId="14" fillId="0" fontId="28" numFmtId="0" xfId="0" applyAlignment="1" applyBorder="1" applyFont="1">
      <alignment horizontal="left" readingOrder="0" shrinkToFit="0" wrapText="1"/>
    </xf>
    <xf borderId="12" fillId="0" fontId="17" numFmtId="0" xfId="0" applyBorder="1" applyFont="1"/>
    <xf borderId="0" fillId="0" fontId="29" numFmtId="0" xfId="0" applyAlignment="1" applyFont="1">
      <alignment horizontal="left" readingOrder="0" shrinkToFit="0" wrapText="1"/>
    </xf>
    <xf borderId="0" fillId="0" fontId="29" numFmtId="0" xfId="0" applyAlignment="1" applyFont="1">
      <alignment horizontal="center" readingOrder="0" shrinkToFit="0" wrapText="0"/>
    </xf>
    <xf borderId="0" fillId="0" fontId="29" numFmtId="0" xfId="0" applyAlignment="1" applyFont="1">
      <alignment horizontal="center" readingOrder="0" shrinkToFit="0" wrapText="1"/>
    </xf>
    <xf borderId="0" fillId="0" fontId="30" numFmtId="0" xfId="0" applyAlignment="1" applyFont="1">
      <alignment horizontal="center" readingOrder="0" shrinkToFit="0" wrapText="1"/>
    </xf>
    <xf borderId="0" fillId="0" fontId="30" numFmtId="0" xfId="0" applyAlignment="1" applyFont="1">
      <alignment horizontal="center" readingOrder="0" shrinkToFit="0" wrapText="0"/>
    </xf>
    <xf borderId="0" fillId="0" fontId="31" numFmtId="0" xfId="0" applyAlignment="1" applyFont="1">
      <alignment horizontal="center" readingOrder="0" shrinkToFit="0" wrapText="1"/>
    </xf>
    <xf borderId="0" fillId="0" fontId="3" numFmtId="0" xfId="0" applyAlignment="1" applyFont="1">
      <alignment shrinkToFit="0" wrapText="0"/>
    </xf>
    <xf borderId="34" fillId="0" fontId="3" numFmtId="0" xfId="0" applyAlignment="1" applyBorder="1" applyFont="1">
      <alignment horizontal="left" readingOrder="0" shrinkToFit="0" vertical="center" wrapText="0"/>
    </xf>
    <xf borderId="35" fillId="0" fontId="3" numFmtId="0" xfId="0" applyAlignment="1" applyBorder="1" applyFont="1">
      <alignment horizontal="left" readingOrder="0" shrinkToFit="0" vertical="center" wrapText="0"/>
    </xf>
    <xf borderId="36" fillId="0" fontId="3" numFmtId="0" xfId="0" applyAlignment="1" applyBorder="1" applyFont="1">
      <alignment horizontal="left" readingOrder="0" shrinkToFit="0" vertical="center" wrapText="0"/>
    </xf>
    <xf borderId="15" fillId="0" fontId="3" numFmtId="0" xfId="0" applyAlignment="1" applyBorder="1" applyFont="1">
      <alignment shrinkToFit="0" vertical="center" wrapText="0"/>
    </xf>
    <xf borderId="7" fillId="0" fontId="3" numFmtId="0" xfId="0" applyAlignment="1" applyBorder="1" applyFont="1">
      <alignment shrinkToFit="0" vertical="center" wrapText="0"/>
    </xf>
    <xf borderId="7" fillId="0" fontId="3" numFmtId="0" xfId="0" applyAlignment="1" applyBorder="1" applyFont="1">
      <alignment shrinkToFit="0" vertical="center" wrapText="0"/>
    </xf>
    <xf borderId="7" fillId="0" fontId="3" numFmtId="2" xfId="0" applyAlignment="1" applyBorder="1" applyFont="1" applyNumberFormat="1">
      <alignment shrinkToFit="0" vertical="center" wrapText="0"/>
    </xf>
    <xf borderId="16" fillId="0" fontId="3" numFmtId="0" xfId="0" applyAlignment="1" applyBorder="1" applyFont="1">
      <alignment shrinkToFit="0" vertical="center" wrapText="0"/>
    </xf>
    <xf borderId="25" fillId="0" fontId="3" numFmtId="0" xfId="0" applyAlignment="1" applyBorder="1" applyFont="1">
      <alignment shrinkToFit="0" vertical="center" wrapText="0"/>
    </xf>
    <xf borderId="26" fillId="0" fontId="3" numFmtId="0" xfId="0" applyAlignment="1" applyBorder="1" applyFont="1">
      <alignment shrinkToFit="0" vertical="center" wrapText="0"/>
    </xf>
    <xf borderId="26" fillId="0" fontId="3" numFmtId="0" xfId="0" applyAlignment="1" applyBorder="1" applyFont="1">
      <alignment shrinkToFit="0" vertical="center" wrapText="0"/>
    </xf>
    <xf borderId="26" fillId="0" fontId="3" numFmtId="2" xfId="0" applyAlignment="1" applyBorder="1" applyFont="1" applyNumberFormat="1">
      <alignment shrinkToFit="0" vertical="center" wrapText="0"/>
    </xf>
    <xf borderId="27" fillId="0" fontId="3" numFmtId="0" xfId="0" applyAlignment="1" applyBorder="1" applyFont="1">
      <alignment shrinkToFit="0" vertical="center" wrapText="0"/>
    </xf>
    <xf borderId="0" fillId="0" fontId="3" numFmtId="2" xfId="0" applyFont="1" applyNumberFormat="1"/>
    <xf borderId="7" fillId="0" fontId="32" numFmtId="0" xfId="0" applyAlignment="1" applyBorder="1" applyFont="1">
      <alignment vertical="bottom"/>
    </xf>
    <xf borderId="14" fillId="0" fontId="33" numFmtId="0" xfId="0" applyAlignment="1" applyBorder="1" applyFont="1">
      <alignment horizontal="center" vertical="bottom"/>
    </xf>
    <xf borderId="0" fillId="0" fontId="32" numFmtId="0" xfId="0" applyFont="1"/>
    <xf borderId="7" fillId="0" fontId="33" numFmtId="0" xfId="0" applyAlignment="1" applyBorder="1" applyFont="1">
      <alignment horizontal="center" vertical="bottom"/>
    </xf>
    <xf borderId="7" fillId="0" fontId="33" numFmtId="2" xfId="0" applyAlignment="1" applyBorder="1" applyFont="1" applyNumberFormat="1">
      <alignment horizontal="center" vertical="bottom"/>
    </xf>
    <xf borderId="0" fillId="0" fontId="33" numFmtId="0" xfId="0" applyAlignment="1" applyFont="1">
      <alignment readingOrder="0" vertical="bottom"/>
    </xf>
    <xf borderId="4" fillId="0" fontId="2" numFmtId="0" xfId="0" applyAlignment="1" applyBorder="1" applyFont="1">
      <alignment vertical="bottom"/>
    </xf>
    <xf borderId="0" fillId="0" fontId="2" numFmtId="2" xfId="0" applyAlignment="1" applyFont="1" applyNumberFormat="1">
      <alignment horizontal="right" vertical="bottom"/>
    </xf>
    <xf borderId="0" fillId="4" fontId="2" numFmtId="2" xfId="0" applyAlignment="1" applyFont="1" applyNumberFormat="1">
      <alignment horizontal="right" vertical="bottom"/>
    </xf>
    <xf borderId="4" fillId="3" fontId="2" numFmtId="0" xfId="0" applyAlignment="1" applyBorder="1" applyFont="1">
      <alignment vertical="bottom"/>
    </xf>
    <xf borderId="4" fillId="3" fontId="2" numFmtId="0" xfId="0" applyAlignment="1" applyBorder="1" applyFont="1">
      <alignment readingOrder="0" vertical="bottom"/>
    </xf>
    <xf borderId="0" fillId="0" fontId="2" numFmtId="2" xfId="0" applyAlignment="1" applyFont="1" applyNumberFormat="1">
      <alignment horizontal="right" readingOrder="0" vertical="bottom"/>
    </xf>
    <xf borderId="0" fillId="4" fontId="2" numFmtId="2" xfId="0" applyAlignment="1" applyFont="1" applyNumberFormat="1">
      <alignment horizontal="right" readingOrder="0" vertical="bottom"/>
    </xf>
    <xf borderId="4" fillId="0" fontId="2" numFmtId="0" xfId="0" applyAlignment="1" applyBorder="1" applyFont="1">
      <alignment readingOrder="0" vertical="bottom"/>
    </xf>
    <xf borderId="0" fillId="0" fontId="3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S7High SNP density sncRN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ocumenttasks/documenttask1.xml><?xml version="1.0" encoding="utf-8"?>
<Tasks xmlns="http://schemas.microsoft.com/office/tasks/2019/documenttasks">
  <Task id="{e0b59b70-2892-4e2a-b8fc-e6f287257e2e}">
    <Anchor>
      <Comment id="{5d1539a4-ed34-4c92-b45c-0d862ab82ae8}"/>
    </Anchor>
    <History>
      <Event time="2025-05-06T22:14:19.00" id="{3240a68c-7ab1-4b8a-9f42-8bcae2e283f2}">
        <Attribution userId="placeholder@email.com" userName="Paul Gardner" userProvider="google-sheets"/>
        <Anchor>
          <Comment id="{5d1539a4-ed34-4c92-b45c-0d862ab82ae8}"/>
        </Anchor>
        <Create/>
      </Event>
      <Event time="2025-05-06T22:14:19.00" id="{02b21b49-a076-4259-a4d8-715ba69c91e6}">
        <Attribution userId="placeholder@email.com" userName="Paul Gardner" userProvider="google-sheets"/>
        <Anchor>
          <Comment id="{5d1539a4-ed34-4c92-b45c-0d862ab82ae8}"/>
        </Anchor>
        <Assign userId="karla.e.rojas1490@gmail.com" userName="karla.e.rojas1490@gmail.com" userProvider="google-sheets"/>
      </Event>
    </History>
  </Task>
  <Task id="{3d211387-bff9-45fd-a5d2-25f4f9a3131a}">
    <Anchor>
      <Comment id="{8becc779-0987-47ce-8443-b4b21f0522b2}"/>
    </Anchor>
    <History>
      <Event time="2025-03-10T20:49:04.00" id="{66b226ec-2f58-4aa5-a1ef-5e3bb971d5de}">
        <Attribution userId="placeholder@email.com" userName="Paul Gardner" userProvider="google-sheets"/>
        <Anchor>
          <Comment id="{8becc779-0987-47ce-8443-b4b21f0522b2}"/>
        </Anchor>
        <Create/>
      </Event>
      <Event time="2025-03-10T20:49:04.00" id="{48c02dc1-7cfc-4407-ab10-3d3339baefd8}">
        <Attribution userId="placeholder@email.com" userName="Paul Gardner" userProvider="google-sheets"/>
        <Anchor>
          <Comment id="{8becc779-0987-47ce-8443-b4b21f0522b2}"/>
        </Anchor>
        <Assign userId="karla.e.rojas1490@gmail.com" userName="karla.e.rojas1490@gmail.com" userProvider="google-sheets"/>
      </Event>
    </History>
  </Task>
  <Task id="{352a1378-1160-45b3-89d7-21e9026c2436}">
    <Anchor>
      <Comment id="{98c9687d-e6b4-4a2d-9493-497b7a30a460}"/>
    </Anchor>
    <History>
      <Event time="2024-11-25T21:33:33.00" id="{525ad8ab-065d-4be2-a02c-694cb07ba17f}">
        <Attribution userId="placeholder@email.com" userName="Paul Gardner" userProvider="google-sheets"/>
        <Anchor>
          <Comment id="{98c9687d-e6b4-4a2d-9493-497b7a30a460}"/>
        </Anchor>
        <Create/>
      </Event>
      <Event time="2024-11-25T21:33:33.00" id="{a558f6cb-2531-45d5-95b5-15c18da4c9d1}">
        <Attribution userId="placeholder@email.com" userName="Paul Gardner" userProvider="google-sheets"/>
        <Anchor>
          <Comment id="{98c9687d-e6b4-4a2d-9493-497b7a30a460}"/>
        </Anchor>
        <Assign userId="karla.e.rojas1490@gmail.com" userName="karla.e.rojas1490@gmail.com" userProvider="google-sheets"/>
      </Event>
    </History>
  </Task>
</Tasks>
</file>

<file path=xl/documenttasks/documenttask2.xml><?xml version="1.0" encoding="utf-8"?>
<Tasks xmlns="http://schemas.microsoft.com/office/tasks/2019/documenttasks">
  <Task id="{c1214972-7111-44e2-b3b3-dd23d646a1bc}">
    <Anchor>
      <Comment id="{5a118680-a779-4712-a60b-12fbc50d87cc}"/>
    </Anchor>
    <History>
      <Event time="2024-11-25T21:35:23.00" id="{4312ca99-61b3-4c1b-87eb-cc290cc3d60d}">
        <Attribution userId="placeholder@email.com" userName="Paul Gardner" userProvider="google-sheets"/>
        <Anchor>
          <Comment id="{5a118680-a779-4712-a60b-12fbc50d87cc}"/>
        </Anchor>
        <Create/>
      </Event>
      <Event time="2024-11-25T21:35:23.00" id="{c92506b7-6839-4b1f-91d7-19237ba04aec}">
        <Attribution userId="placeholder@email.com" userName="Paul Gardner" userProvider="google-sheets"/>
        <Anchor>
          <Comment id="{5a118680-a779-4712-a60b-12fbc50d87cc}"/>
        </Anchor>
        <Assign userId="danielaschiavinato@gmail.com" userName="danielaschiavinato@gmail.com" userProvider="google-sheets"/>
      </Event>
    </History>
  </Task>
  <Task id="{e8ade25a-1edd-4845-9e34-6aa408e02f2c}">
    <Anchor>
      <Comment id="{6e1b5db4-fc33-4824-950b-dafd9874af68}"/>
    </Anchor>
    <History>
      <Event time="2024-12-12T22:20:58.00" id="{0d8c96d6-5b81-430d-9f92-b0543deec943}">
        <Attribution userId="placeholder@email.com" userName="Paul Gardner" userProvider="google-sheets"/>
        <Anchor>
          <Comment id="{6e1b5db4-fc33-4824-950b-dafd9874af68}"/>
        </Anchor>
        <Create/>
      </Event>
      <Event time="2024-12-12T22:20:58.00" id="{6a86f700-312a-4162-9600-06b2fd94c2bf}">
        <Attribution userId="placeholder@email.com" userName="Paul Gardner" userProvider="google-sheets"/>
        <Anchor>
          <Comment id="{6e1b5db4-fc33-4824-950b-dafd9874af68}"/>
        </Anchor>
        <Assign userId="karla.e.rojas1490@gmail.com" userName="karla.e.rojas1490@gmail.com" userProvider="google-sheets"/>
      </Event>
    </History>
  </Task>
</Tasks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arla.e.rojas1490@gmail.com" id="{90ec445a-1a91-45ef-9211-849e02d754e1}" userId="karla.e.rojas1490@gmail.com" providerId="google-sheets"/>
  <x18tc:person displayName="danielaschiavinato@gmail.com" id="{5e25036e-80a3-4f9c-83d7-1c06f332b46b}" userId="danielaschiavinato@gmail.com" providerId="google-sheets"/>
  <x18tc:person displayName="Daniela Schiavinato" id="{08b3831e-1a03-4b08-87d9-d587b749b244}" providerId="google-sheets"/>
  <x18tc:person displayName="Paul Gardner" id="{e07a9002-ddd8-4433-9ac2-603c41b3576c}" providerId="google-sheets"/>
  <x18tc:person displayName="Helena" id="{eccc2258-2d61-47cc-a47e-f1d4ef13be36}" providerId="google-sheets"/>
  <x18tc:person displayName="Estefania Rojas" id="{6f8ddf70-160a-456f-b945-215babb51f3d}" providerId="google-sheets"/>
</x18tc:personList>
</file>

<file path=xl/tables/table1.xml><?xml version="1.0" encoding="utf-8"?>
<table xmlns="http://schemas.openxmlformats.org/spreadsheetml/2006/main" ref="A1:H123" displayName="Table1" name="Table1" id="1">
  <tableColumns count="8">
    <tableColumn name="Chromosome" id="1"/>
    <tableColumn name="Start" id="2"/>
    <tableColumn name="End" id="3"/>
    <tableColumn name="HGNC GeneID " id="4"/>
    <tableColumn name="GeneName" id="5"/>
    <tableColumn name="SNP_density" id="6"/>
    <tableColumn name="rna_type" id="7"/>
    <tableColumn name="Comment" id="8"/>
  </tableColumns>
  <tableStyleInfo name="S7High SNP density sncRN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12-08T02:09:56.00" personId="{eccc2258-2d61-47cc-a47e-f1d4ef13be36}" id="{08bb3b55-9b6e-4019-bea4-720dcf830a4a}" done="1">
    <x18tc:text xml:space="preserve">Flagging this table only so the question mark comments don't make it into the final version. I'm sure you guys have this under control though :)</x18tc:text>
  </x18tc:threadedComment>
  <x18tc:threadedComment ref="A1" dT="2026-04-09T00:16:00.00" personId="{e07a9002-ddd8-4433-9ac2-603c41b3576c}" id="{c8b00068-eeea-4e59-aead-b0b34600878c}" parentId="{08bb3b55-9b6e-4019-bea4-720dcf830a4a}">
    <x18tc:text xml:space="preserve">Ha -- only just noticed!</x18tc:text>
  </x18tc:threadedComment>
  <x18tc:threadedComment ref="D6" dT="2024-09-02T22:46:30.00" personId="{e07a9002-ddd8-4433-9ac2-603c41b3576c}" id="{193bf754-b117-4d3f-954d-fc1770a1045b}" done="1">
    <x18tc:text xml:space="preserve">@danielaschiavinato@gmail.com</x18tc:text>
    <x18tc:mentions>
      <x18tc:mention mentionpersonId="{5e25036e-80a3-4f9c-83d7-1c06f332b46b}" mentionId="{4306b3cf-efc4-41d4-83ea-0ed41a4ffb3a}" startIndex="0" length="29"/>
    </x18tc:mentions>
  </x18tc:threadedComment>
  <x18tc:threadedComment ref="A5" dT="2026-03-03T01:32:48.00" personId="{08b3831e-1a03-4b08-87d9-d587b749b244}" id="{e8fb6998-cfd1-4e7d-891a-884c20753ba2}" done="1">
    <x18tc:text xml:space="preserve">are these highlighted for some reason?</x18tc:text>
  </x18tc:threadedComment>
  <x18tc:threadedComment ref="A1" dT="2025-07-14T23:42:35.00" personId="{e07a9002-ddd8-4433-9ac2-603c41b3576c}" id="{eb8f9a9b-5faf-475f-866e-60625c62866d}" done="1">
    <x18tc:text xml:space="preserve">@karla.e.rojas1490@gmail.com  Add a few more details -- what is being correlated with what?...</x18tc:text>
    <x18tc:mentions>
      <x18tc:mention mentionpersonId="{90ec445a-1a91-45ef-9211-849e02d754e1}" mentionId="{3b3d7717-865d-4d5c-872b-f498c8d23f39}" startIndex="0" length="28"/>
    </x18tc:mentions>
  </x18tc:threadedComment>
  <x18tc:threadedComment ref="D39" dT="2025-05-06T22:14:19.00" personId="{e07a9002-ddd8-4433-9ac2-603c41b3576c}" id="{5d1539a4-ed34-4c92-b45c-0d862ab82ae8}" done="1">
    <x18tc:text xml:space="preserve">UPDATE. @karla.e.rojas1490@gmail.com
Assigned to karla.e.rojas1490@gmail.com</x18tc:text>
    <x18tc:mentions>
      <x18tc:mention mentionpersonId="{90ec445a-1a91-45ef-9211-849e02d754e1}" mentionId="{0e6e306f-e977-46dd-84ee-dad981283693}" startIndex="8" length="28"/>
    </x18tc:mentions>
  </x18tc:threadedComment>
  <x18tc:threadedComment ref="F1" dT="2024-12-05T22:55:18.00" personId="{e07a9002-ddd8-4433-9ac2-603c41b3576c}" id="{eb629278-3a16-46bb-bef1-66f5d8da309c}" done="1">
    <x18tc:text xml:space="preserve">@danielaschiavinato@gmail.com @karla.e.rojas1490@gmail.com can we add URLs to the data sources here too?</x18tc:text>
    <x18tc:mentions>
      <x18tc:mention mentionpersonId="{5e25036e-80a3-4f9c-83d7-1c06f332b46b}" mentionId="{81ec8fe4-7a90-430e-900a-84db5b8b1c7c}" startIndex="0" length="29"/>
      <x18tc:mention mentionpersonId="{90ec445a-1a91-45ef-9211-849e02d754e1}" mentionId="{805e1cd4-d6a9-4cf4-a72b-0973922131e1}" startIndex="30" length="28"/>
    </x18tc:mentions>
  </x18tc:threadedComment>
  <x18tc:threadedComment ref="A1" dT="2025-03-10T20:49:04.00" personId="{e07a9002-ddd8-4433-9ac2-603c41b3576c}" id="{8becc779-0987-47ce-8443-b4b21f0522b2}" done="0">
    <x18tc:text xml:space="preserve">@karla.e.rojas1490@gmail.com are these correct? These are VERY low correlations. 
Any chance you could add methylome vs RPKMs too?
Assigned to karla.e.rojas1490@gmail.com</x18tc:text>
    <x18tc:mentions>
      <x18tc:mention mentionpersonId="{90ec445a-1a91-45ef-9211-849e02d754e1}" mentionId="{a7258797-11ef-4c42-9cf3-ef8e8a434b33}" startIndex="0" length="28"/>
    </x18tc:mentions>
  </x18tc:threadedComment>
  <x18tc:threadedComment ref="A1" dT="2025-03-10T22:46:05.00" personId="{6f8ddf70-160a-456f-b945-215babb51f3d}" id="{b7600701-5f38-4c2a-89e6-fc3ac9d329e7}" parentId="{8becc779-0987-47ce-8443-b4b21f0522b2}">
    <x18tc:text xml:space="preserve">They should be correct, the same method was applied to get the correlations for all the features. I can have a second look just in case I missed something.</x18tc:text>
  </x18tc:threadedComment>
  <x18tc:threadedComment ref="A1" dT="2025-03-10T22:53:33.00" personId="{08b3831e-1a03-4b08-87d9-d587b749b244}" id="{8d848c3c-cfe8-4b33-aaa0-f4ae617339d0}" parentId="{8becc779-0987-47ce-8443-b4b21f0522b2}">
    <x18tc:text xml:space="preserve">these are calculated considering only the positive datasets, aren't they?</x18tc:text>
  </x18tc:threadedComment>
  <x18tc:threadedComment ref="A1" dT="2025-03-11T00:24:11.00" personId="{6f8ddf70-160a-456f-b945-215babb51f3d}" id="{e13e4022-aeb2-4060-8718-a51e440b7444}" parentId="{8becc779-0987-47ce-8443-b4b21f0522b2}">
    <x18tc:text xml:space="preserve">Yes, they are calculated only considering the positive datasets</x18tc:text>
  </x18tc:threadedComment>
  <x18tc:threadedComment ref="A1" dT="2024-11-25T21:33:33.00" personId="{e07a9002-ddd8-4433-9ac2-603c41b3576c}" id="{98c9687d-e6b4-4a2d-9493-497b7a30a460}" done="0">
    <x18tc:text xml:space="preserve">@karla.e.rojas1490@gmail.com do we ever use this? Is it possible to add the same tables for sncRNA &amp; lncRNA below?
Assigned to karla.e.rojas1490@gmail.com</x18tc:text>
    <x18tc:mentions>
      <x18tc:mention mentionpersonId="{90ec445a-1a91-45ef-9211-849e02d754e1}" mentionId="{257b4bfa-201e-415a-80fc-13bf434aae31}" startIndex="0" length="28"/>
    </x18tc:mentions>
  </x18tc:threadedComment>
  <x18tc:threadedComment ref="A1" dT="2024-11-26T13:57:18.00" personId="{6f8ddf70-160a-456f-b945-215babb51f3d}" id="{a02babec-fcdf-49ed-98c6-08b4c2aea90b}" parentId="{98c9687d-e6b4-4a2d-9493-497b7a30a460}">
    <x18tc:text xml:space="preserve">No at the end we don't use the meanAD because none of the MAD values are smaller than 1e-6. We can remove it from the formula in the main paper and the script. I did not noticed that until I included this tables, sorry. I have added the tables for sncRNAs and lncRNAs below.</x18tc:text>
  </x18tc:threadedComment>
  <x18tc:threadedComment ref="A1" dT="2024-12-11T22:02:09.00" personId="{e07a9002-ddd8-4433-9ac2-603c41b3576c}" id="{0ca2d1ab-40ef-4f15-8acd-f00d21eb6f42}" parentId="{98c9687d-e6b4-4a2d-9493-497b7a30a460}">
    <x18tc:text xml:space="preserve">Add samples size for each statistic too? Dani mentioned we have missing data for e.g. GERP... @karla.e.rojas1490@gmail.com</x18tc:text>
    <x18tc:mentions>
      <x18tc:mention mentionpersonId="{90ec445a-1a91-45ef-9211-849e02d754e1}" mentionId="{0882a6f7-fa3c-45b8-9ec3-c9655790f24e}" startIndex="94" length="28"/>
    </x18tc:mentions>
  </x18tc:threadedComment>
  <x18tc:threadedComment ref="A1" dT="2024-12-13T02:00:00.00" personId="{6f8ddf70-160a-456f-b945-215babb51f3d}" id="{9d514839-b55d-4c34-8c76-fd207dab347b}" parentId="{98c9687d-e6b4-4a2d-9493-497b7a30a460}">
    <x18tc:text xml:space="preserve">I have added sample size for every feature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P29" dT="2024-12-12T22:20:31.00" personId="{e07a9002-ddd8-4433-9ac2-603c41b3576c}" id="{87569a79-13fb-4081-99a3-6aabf27416e3}" done="1">
    <x18tc:text xml:space="preserve">mRNA or sncRNA? @karla.e.rojas1490@gmail.com</x18tc:text>
    <x18tc:mentions>
      <x18tc:mention mentionpersonId="{90ec445a-1a91-45ef-9211-849e02d754e1}" mentionId="{ffda8a01-60c1-4bb4-867a-a26f11f995ba}" startIndex="16" length="28"/>
    </x18tc:mentions>
  </x18tc:threadedComment>
  <x18tc:threadedComment ref="P29" dT="2024-12-13T00:51:24.00" personId="{6f8ddf70-160a-456f-b945-215babb51f3d}" id="{6432faf7-1e18-435f-af0f-bef20fd4129f}" parentId="{87569a79-13fb-4081-99a3-6aabf27416e3}">
    <x18tc:text xml:space="preserve">raw sncRNA</x18tc:text>
  </x18tc:threadedComment>
  <x18tc:threadedComment ref="C16" dT="2024-11-25T21:35:23.00" personId="{e07a9002-ddd8-4433-9ac2-603c41b3576c}" id="{5a118680-a779-4712-a60b-12fbc50d87cc}" done="1">
    <x18tc:text xml:space="preserve">@danielaschiavinato@gmail.com Any idea why there are negative &amp; fractional values here? Shouldn't these be positive integers?
Assigned to danielaschiavinato@gmail.com</x18tc:text>
    <x18tc:mentions>
      <x18tc:mention mentionpersonId="{5e25036e-80a3-4f9c-83d7-1c06f332b46b}" mentionId="{2fccf143-1f65-45ce-b717-01a96f24b381}" startIndex="0" length="29"/>
    </x18tc:mentions>
  </x18tc:threadedComment>
  <x18tc:threadedComment ref="C16" dT="2024-11-25T21:36:12.00" personId="{e07a9002-ddd8-4433-9ac2-603c41b3576c}" id="{ec8a2764-08aa-4c70-ae7d-f40bd5644e3f}" parentId="{5a118680-a779-4712-a60b-12fbc50d87cc}">
    <x18tc:text xml:space="preserve">Nevermind -- they're Z-scores. I just twigged!</x18tc:text>
  </x18tc:threadedComment>
  <x18tc:threadedComment ref="P57" dT="2024-12-12T22:20:58.00" personId="{e07a9002-ddd8-4433-9ac2-603c41b3576c}" id="{6e1b5db4-fc33-4824-950b-dafd9874af68}" done="1">
    <x18tc:text xml:space="preserve">mRNA or lncRNA @karla.e.rojas1490@gmail.com
Assigned to karla.e.rojas1490@gmail.com</x18tc:text>
    <x18tc:mentions>
      <x18tc:mention mentionpersonId="{90ec445a-1a91-45ef-9211-849e02d754e1}" mentionId="{d1b47aa1-a028-4127-99df-8e307ed10430}" startIndex="15" length="28"/>
    </x18tc:mentions>
  </x18tc:threadedComment>
  <x18tc:threadedComment ref="P57" dT="2024-12-13T00:51:45.00" personId="{6f8ddf70-160a-456f-b945-215babb51f3d}" id="{133836e5-03ce-430d-807d-0dcf66d6791c}" parentId="{6e1b5db4-fc33-4824-950b-dafd9874af68}">
    <x18tc:text xml:space="preserve">lncRNA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1-03T03:55:13.00" personId="{08b3831e-1a03-4b08-87d9-d587b749b244}" id="{4ebd2a7b-8ff0-43cc-bf9b-d627b8ec5d8d}" done="1">
    <x18tc:text xml:space="preserve">paul's comment: I think we need to shift these to the spreadsheet for consistency -- I suggest 34 data rows, with the "strongest" interaction partner &amp; details for each of the conserved &amp; abundant ncRNAs. Basically a combination of the two tables... We can sort on "min binding energy" to highlight the strongest interactions.</x18tc:text>
  </x18tc:threadedComment>
  <x18tc:threadedComment ref="C36" dT="2025-01-02T20:46:14.00" personId="{08b3831e-1a03-4b08-87d9-d587b749b244}" id="{6f567b61-df98-437b-aec1-56d882828ce6}" done="1">
    <x18tc:text xml:space="preserve">work in progress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nature.com/articles/nmeth.4066" TargetMode="External"/><Relationship Id="rId22" Type="http://schemas.openxmlformats.org/officeDocument/2006/relationships/hyperlink" Target="https://almob.biomedcentral.com/articles/10.1186/1748-7188-6-26" TargetMode="External"/><Relationship Id="rId21" Type="http://schemas.openxmlformats.org/officeDocument/2006/relationships/hyperlink" Target="http://hgdownload.soe.ucsc.edu/goldenPath/hg38/cactus241way/cactus241way.bigMaf" TargetMode="External"/><Relationship Id="rId24" Type="http://schemas.openxmlformats.org/officeDocument/2006/relationships/hyperlink" Target="https://github.com/danischiavi/gene-functionality/blob/2024-gene-functionality/data/raw/curated-interaction-database.fa" TargetMode="External"/><Relationship Id="rId23" Type="http://schemas.openxmlformats.org/officeDocument/2006/relationships/hyperlink" Target="https://www.tbi.univie.ac.at/RNA/index.html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pubmed.ncbi.nlm.nih.gov/16796549/" TargetMode="External"/><Relationship Id="rId9" Type="http://schemas.openxmlformats.org/officeDocument/2006/relationships/hyperlink" Target="https://asia.ensembl.org/info/genome/compara/multiple_genome_alignments.html" TargetMode="External"/><Relationship Id="rId26" Type="http://schemas.openxmlformats.org/officeDocument/2006/relationships/hyperlink" Target="https://hgdownload.soe.ucsc.edu/gbdb/hg38/gnomAD/v4/genomes/" TargetMode="External"/><Relationship Id="rId25" Type="http://schemas.openxmlformats.org/officeDocument/2006/relationships/hyperlink" Target="https://academic.oup.com/bioinformatics/article/27/15/2156/402296" TargetMode="External"/><Relationship Id="rId28" Type="http://schemas.openxmlformats.org/officeDocument/2006/relationships/hyperlink" Target="https://hgdownload.soe.ucsc.edu/gbdb/hg38/gnomAD/v4/genomes/" TargetMode="External"/><Relationship Id="rId27" Type="http://schemas.openxmlformats.org/officeDocument/2006/relationships/hyperlink" Target="https://academic.oup.com/bioinformatics/article/27/15/2156/402296" TargetMode="External"/><Relationship Id="rId5" Type="http://schemas.openxmlformats.org/officeDocument/2006/relationships/hyperlink" Target="https://academic.oup.com/bioinformatics/article/26/17/2204/199001" TargetMode="External"/><Relationship Id="rId6" Type="http://schemas.openxmlformats.org/officeDocument/2006/relationships/hyperlink" Target="https://cgl.gi.ucsc.edu/data/cactus/241-mammalian-2020v2-hub/Homo_sapiens/241-mammalian-2020v2.bigWig" TargetMode="External"/><Relationship Id="rId29" Type="http://schemas.openxmlformats.org/officeDocument/2006/relationships/hyperlink" Target="https://currentprotocols.onlinelibrary.wiley.com/doi/abs/10.1002/0471250953.bi1112s47" TargetMode="External"/><Relationship Id="rId7" Type="http://schemas.openxmlformats.org/officeDocument/2006/relationships/hyperlink" Target="https://academic.oup.com/bioinformatics/article/26/17/2204/199001" TargetMode="External"/><Relationship Id="rId8" Type="http://schemas.openxmlformats.org/officeDocument/2006/relationships/hyperlink" Target="http://hgdownload.cse.ucsc.edu/goldenpath/hg38/phyloP100way/hg38.phyloP100way.bw" TargetMode="External"/><Relationship Id="rId31" Type="http://schemas.openxmlformats.org/officeDocument/2006/relationships/hyperlink" Target="https://currentprotocols.onlinelibrary.wiley.com/doi/abs/10.1002/0471250953.bi1112s47" TargetMode="External"/><Relationship Id="rId30" Type="http://schemas.openxmlformats.org/officeDocument/2006/relationships/hyperlink" Target="https://github.com/danischiavi/gene-functionality/tree/2024-gene-functionality/data/epigenetic_data/histone_marks" TargetMode="External"/><Relationship Id="rId11" Type="http://schemas.openxmlformats.org/officeDocument/2006/relationships/hyperlink" Target="https://academic.oup.com/bioinformatics/article/25/16/2078/204688" TargetMode="External"/><Relationship Id="rId33" Type="http://schemas.openxmlformats.org/officeDocument/2006/relationships/hyperlink" Target="https://currentprotocols.onlinelibrary.wiley.com/doi/abs/10.1002/0471250953.bi1112s47" TargetMode="External"/><Relationship Id="rId10" Type="http://schemas.openxmlformats.org/officeDocument/2006/relationships/hyperlink" Target="https://asia.ensembl.org/info/genome/compara/multiple_genome_alignments.html" TargetMode="External"/><Relationship Id="rId32" Type="http://schemas.openxmlformats.org/officeDocument/2006/relationships/hyperlink" Target="https://github.com/danischiavi/gene-functionality/tree/2024-gene-functionality/data/epigenetic_data/chromatin_accessibility" TargetMode="External"/><Relationship Id="rId13" Type="http://schemas.openxmlformats.org/officeDocument/2006/relationships/hyperlink" Target="https://academic.oup.com/bioinformatics/article/25/16/2078/204688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https://github.com/danischiavi/gene-functionality/blob/2024-gene-functionality/data/raw/encode-tissue-rnaseq.txt" TargetMode="External"/><Relationship Id="rId34" Type="http://schemas.openxmlformats.org/officeDocument/2006/relationships/hyperlink" Target="https://github.com/danischiavi/gene-functionality/tree/2024-gene-functionality/data/epigenetic_data/methylome" TargetMode="External"/><Relationship Id="rId15" Type="http://schemas.openxmlformats.org/officeDocument/2006/relationships/hyperlink" Target="https://currentprotocols.onlinelibrary.wiley.com/doi/abs/10.1002/0471250953.bi1112s47" TargetMode="External"/><Relationship Id="rId14" Type="http://schemas.openxmlformats.org/officeDocument/2006/relationships/hyperlink" Target="https://github.com/danischiavi/gene-functionality/blob/2024-gene-functionality/data/raw/encode-primary-cell-rnaseq.txt" TargetMode="External"/><Relationship Id="rId36" Type="http://schemas.openxmlformats.org/officeDocument/2006/relationships/vmlDrawing" Target="../drawings/vmlDrawing1.vml"/><Relationship Id="rId17" Type="http://schemas.openxmlformats.org/officeDocument/2006/relationships/hyperlink" Target="https://almob.biomedcentral.com/articles/10.1186/1748-7188-6-26" TargetMode="External"/><Relationship Id="rId16" Type="http://schemas.openxmlformats.org/officeDocument/2006/relationships/hyperlink" Target="https://www.dfam.org/releases/Dfam_3.8/annotations/hg38/hg38.nrph.hits.gz" TargetMode="External"/><Relationship Id="rId19" Type="http://schemas.openxmlformats.org/officeDocument/2006/relationships/hyperlink" Target="https://pubmed.ncbi.nlm.nih.gov/28521017/" TargetMode="External"/><Relationship Id="rId18" Type="http://schemas.openxmlformats.org/officeDocument/2006/relationships/hyperlink" Target="http://hgdownload.soe.ucsc.edu/goldenPath/hg38/cactus241way/cactus241way.bigMaf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academic.oup.com/bioinformatics/article/27/15/2156/402296" TargetMode="External"/><Relationship Id="rId22" Type="http://schemas.openxmlformats.org/officeDocument/2006/relationships/hyperlink" Target="https://academic.oup.com/mbe/article/31/7/1929/2925788" TargetMode="External"/><Relationship Id="rId21" Type="http://schemas.openxmlformats.org/officeDocument/2006/relationships/hyperlink" Target="https://academic.oup.com/mbe/article/31/7/1929/2925788" TargetMode="External"/><Relationship Id="rId24" Type="http://schemas.openxmlformats.org/officeDocument/2006/relationships/hyperlink" Target="https://academic.oup.com/bioinformatics/article/27/15/2156/402296" TargetMode="External"/><Relationship Id="rId23" Type="http://schemas.openxmlformats.org/officeDocument/2006/relationships/hyperlink" Target="https://academic.oup.com/mbe/article/31/7/1929/2925788" TargetMode="External"/><Relationship Id="rId1" Type="http://schemas.openxmlformats.org/officeDocument/2006/relationships/hyperlink" Target="https://academic.oup.com/bioinformatics/article/25/16/2078/204688" TargetMode="External"/><Relationship Id="rId2" Type="http://schemas.openxmlformats.org/officeDocument/2006/relationships/hyperlink" Target="https://academic.oup.com/bioinformatics/article/25/16/2078/204688" TargetMode="External"/><Relationship Id="rId3" Type="http://schemas.openxmlformats.org/officeDocument/2006/relationships/hyperlink" Target="https://academic.oup.com/bioinformatics/article/25/16/2078/204688" TargetMode="External"/><Relationship Id="rId4" Type="http://schemas.openxmlformats.org/officeDocument/2006/relationships/hyperlink" Target="https://academic.oup.com/bioinformatics/article/26/17/2204/199001" TargetMode="External"/><Relationship Id="rId9" Type="http://schemas.openxmlformats.org/officeDocument/2006/relationships/hyperlink" Target="http://dx.doi.org/10.1093/bioinformatics/btt509" TargetMode="External"/><Relationship Id="rId26" Type="http://schemas.openxmlformats.org/officeDocument/2006/relationships/hyperlink" Target="https://currentprotocols.onlinelibrary.wiley.com/doi/abs/10.1002/0471250953.bi1112s47" TargetMode="External"/><Relationship Id="rId25" Type="http://schemas.openxmlformats.org/officeDocument/2006/relationships/hyperlink" Target="https://academic.oup.com/bioinformatics/article/26/17/2204/199001" TargetMode="External"/><Relationship Id="rId27" Type="http://schemas.openxmlformats.org/officeDocument/2006/relationships/drawing" Target="../drawings/drawing2.xml"/><Relationship Id="rId5" Type="http://schemas.openxmlformats.org/officeDocument/2006/relationships/hyperlink" Target="https://www.sciencedirect.com/science/article/pii/S0022283605803602?via%3Dihub" TargetMode="External"/><Relationship Id="rId6" Type="http://schemas.openxmlformats.org/officeDocument/2006/relationships/hyperlink" Target="https://academic.oup.com/bioinformatics/article/27/13/i275/178183" TargetMode="External"/><Relationship Id="rId7" Type="http://schemas.openxmlformats.org/officeDocument/2006/relationships/hyperlink" Target="https://journals.plos.org/ploscompbiol/article?id=10.1371/journal.pcbi.0020005" TargetMode="External"/><Relationship Id="rId8" Type="http://schemas.openxmlformats.org/officeDocument/2006/relationships/hyperlink" Target="https://academic.oup.com/nar/article-abstract/41/6/e74/2902455" TargetMode="External"/><Relationship Id="rId11" Type="http://schemas.openxmlformats.org/officeDocument/2006/relationships/hyperlink" Target="https://www.nature.com/articles/nmeth.4066" TargetMode="External"/><Relationship Id="rId10" Type="http://schemas.openxmlformats.org/officeDocument/2006/relationships/hyperlink" Target="https://www.nature.com/articles/nmeth.4066" TargetMode="External"/><Relationship Id="rId13" Type="http://schemas.openxmlformats.org/officeDocument/2006/relationships/hyperlink" Target="https://www.nature.com/articles/nmeth.4066" TargetMode="External"/><Relationship Id="rId12" Type="http://schemas.openxmlformats.org/officeDocument/2006/relationships/hyperlink" Target="https://www.nature.com/articles/nmeth.4066" TargetMode="External"/><Relationship Id="rId15" Type="http://schemas.openxmlformats.org/officeDocument/2006/relationships/hyperlink" Target="http://www.rna-society.org/rnainter/" TargetMode="External"/><Relationship Id="rId14" Type="http://schemas.openxmlformats.org/officeDocument/2006/relationships/hyperlink" Target="https://almob.biomedcentral.com/articles/10.1186/1748-7188-6-26" TargetMode="External"/><Relationship Id="rId17" Type="http://schemas.openxmlformats.org/officeDocument/2006/relationships/hyperlink" Target="https://currentprotocols.onlinelibrary.wiley.com/doi/abs/10.1002/0471250953.bi1112s47" TargetMode="External"/><Relationship Id="rId16" Type="http://schemas.openxmlformats.org/officeDocument/2006/relationships/hyperlink" Target="https://almob.biomedcentral.com/articles/10.1186/1748-7188-6-26" TargetMode="External"/><Relationship Id="rId19" Type="http://schemas.openxmlformats.org/officeDocument/2006/relationships/hyperlink" Target="https://academic.oup.com/bioinformatics/article/27/15/2156/402296" TargetMode="External"/><Relationship Id="rId18" Type="http://schemas.openxmlformats.org/officeDocument/2006/relationships/hyperlink" Target="https://currentprotocols.onlinelibrary.wiley.com/doi/abs/10.1002/0471250953.bi1112s47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github.com/danischiavi/gene-functionality/blob/2024-gene-functionality/data/raw/curated-interaction-database.fa" TargetMode="External"/><Relationship Id="rId5" Type="http://schemas.openxmlformats.org/officeDocument/2006/relationships/drawing" Target="../drawings/drawing6.xml"/><Relationship Id="rId6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75"/>
    <col customWidth="1" min="2" max="2" width="23.0"/>
    <col customWidth="1" min="3" max="3" width="21.38"/>
    <col customWidth="1" min="4" max="4" width="70.25"/>
    <col customWidth="1" min="5" max="5" width="37.25"/>
    <col customWidth="1" min="6" max="6" width="70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2" t="s">
        <v>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3" t="s">
        <v>7</v>
      </c>
      <c r="B4" s="4" t="s">
        <v>8</v>
      </c>
      <c r="C4" s="4" t="s">
        <v>7</v>
      </c>
      <c r="D4" s="3" t="s">
        <v>7</v>
      </c>
      <c r="E4" s="4" t="s">
        <v>9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5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5" t="s">
        <v>16</v>
      </c>
      <c r="B6" s="4" t="s">
        <v>17</v>
      </c>
      <c r="C6" s="4" t="s">
        <v>18</v>
      </c>
      <c r="D6" s="4" t="s">
        <v>19</v>
      </c>
      <c r="E6" s="6" t="s">
        <v>20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2"/>
      <c r="B7" s="3"/>
      <c r="C7" s="3"/>
      <c r="D7" s="3"/>
      <c r="E7" s="3"/>
      <c r="F7" s="3"/>
      <c r="G7" s="2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2" t="s">
        <v>21</v>
      </c>
      <c r="B8" s="3"/>
      <c r="C8" s="3"/>
      <c r="D8" s="3"/>
      <c r="E8" s="3"/>
      <c r="F8" s="3"/>
      <c r="G8" s="2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4" t="s">
        <v>22</v>
      </c>
      <c r="B9" s="3" t="s">
        <v>23</v>
      </c>
      <c r="C9" s="3" t="s">
        <v>24</v>
      </c>
      <c r="D9" s="4" t="s">
        <v>25</v>
      </c>
      <c r="E9" s="7" t="s">
        <v>26</v>
      </c>
      <c r="F9" s="6" t="s">
        <v>27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4" t="s">
        <v>28</v>
      </c>
      <c r="B10" s="3" t="s">
        <v>29</v>
      </c>
      <c r="C10" s="3" t="s">
        <v>30</v>
      </c>
      <c r="D10" s="4" t="s">
        <v>31</v>
      </c>
      <c r="E10" s="7" t="s">
        <v>26</v>
      </c>
      <c r="F10" s="6" t="s">
        <v>32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5" t="s">
        <v>33</v>
      </c>
      <c r="B11" s="3" t="s">
        <v>34</v>
      </c>
      <c r="C11" s="3" t="s">
        <v>35</v>
      </c>
      <c r="D11" s="4" t="s">
        <v>36</v>
      </c>
      <c r="E11" s="3"/>
      <c r="F11" s="6" t="s">
        <v>37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5" t="s">
        <v>38</v>
      </c>
      <c r="B12" s="3" t="s">
        <v>39</v>
      </c>
      <c r="C12" s="3" t="s">
        <v>40</v>
      </c>
      <c r="D12" s="4" t="s">
        <v>41</v>
      </c>
      <c r="E12" s="3"/>
      <c r="F12" s="6" t="s">
        <v>42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2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 t="s">
        <v>44</v>
      </c>
      <c r="B15" s="3" t="s">
        <v>44</v>
      </c>
      <c r="C15" s="3" t="s">
        <v>44</v>
      </c>
      <c r="D15" s="3" t="s">
        <v>45</v>
      </c>
      <c r="E15" s="7" t="s">
        <v>46</v>
      </c>
      <c r="F15" s="6" t="s">
        <v>47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 t="s">
        <v>48</v>
      </c>
      <c r="B16" s="3" t="s">
        <v>49</v>
      </c>
      <c r="C16" s="3" t="s">
        <v>49</v>
      </c>
      <c r="D16" s="3" t="s">
        <v>50</v>
      </c>
      <c r="E16" s="7" t="s">
        <v>46</v>
      </c>
      <c r="F16" s="6" t="s">
        <v>47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2" t="s">
        <v>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4" t="s">
        <v>52</v>
      </c>
      <c r="B19" s="3" t="s">
        <v>53</v>
      </c>
      <c r="C19" s="3" t="s">
        <v>54</v>
      </c>
      <c r="D19" s="4" t="s">
        <v>55</v>
      </c>
      <c r="E19" s="8" t="s">
        <v>56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 t="s">
        <v>57</v>
      </c>
      <c r="B20" s="3" t="s">
        <v>58</v>
      </c>
      <c r="C20" s="3" t="s">
        <v>59</v>
      </c>
      <c r="D20" s="4" t="s">
        <v>60</v>
      </c>
      <c r="E20" s="7" t="s">
        <v>61</v>
      </c>
      <c r="F20" s="6" t="s">
        <v>62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2" t="s">
        <v>63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9" t="s">
        <v>64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 t="s">
        <v>65</v>
      </c>
      <c r="B24" s="3" t="s">
        <v>66</v>
      </c>
      <c r="C24" s="3" t="s">
        <v>67</v>
      </c>
      <c r="D24" s="4" t="s">
        <v>68</v>
      </c>
      <c r="E24" s="7" t="s">
        <v>69</v>
      </c>
      <c r="F24" s="6" t="s">
        <v>70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5" t="s">
        <v>71</v>
      </c>
      <c r="B25" s="3" t="s">
        <v>72</v>
      </c>
      <c r="C25" s="3" t="s">
        <v>73</v>
      </c>
      <c r="D25" s="3" t="s">
        <v>74</v>
      </c>
      <c r="E25" s="6" t="s">
        <v>75</v>
      </c>
      <c r="F25" s="10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10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9" t="s">
        <v>76</v>
      </c>
      <c r="B27" s="3"/>
      <c r="C27" s="3"/>
      <c r="D27" s="3"/>
      <c r="E27" s="3"/>
      <c r="F27" s="10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 t="s">
        <v>77</v>
      </c>
      <c r="B28" s="3" t="s">
        <v>78</v>
      </c>
      <c r="C28" s="3" t="s">
        <v>79</v>
      </c>
      <c r="D28" s="4" t="s">
        <v>80</v>
      </c>
      <c r="E28" s="7" t="s">
        <v>81</v>
      </c>
      <c r="F28" s="6" t="s">
        <v>70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 t="s">
        <v>82</v>
      </c>
      <c r="B29" s="3" t="s">
        <v>83</v>
      </c>
      <c r="C29" s="3" t="s">
        <v>84</v>
      </c>
      <c r="D29" s="3" t="s">
        <v>85</v>
      </c>
      <c r="E29" s="7" t="s">
        <v>86</v>
      </c>
      <c r="F29" s="10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9" t="s">
        <v>87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11" t="s">
        <v>88</v>
      </c>
      <c r="B32" s="3" t="s">
        <v>89</v>
      </c>
      <c r="C32" s="3" t="s">
        <v>90</v>
      </c>
      <c r="D32" s="4" t="s">
        <v>91</v>
      </c>
      <c r="E32" s="6" t="s">
        <v>92</v>
      </c>
      <c r="F32" s="6" t="s">
        <v>93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2" t="s">
        <v>94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 t="s">
        <v>95</v>
      </c>
      <c r="B35" s="3" t="s">
        <v>96</v>
      </c>
      <c r="C35" s="3" t="s">
        <v>97</v>
      </c>
      <c r="D35" s="4" t="s">
        <v>98</v>
      </c>
      <c r="E35" s="7" t="s">
        <v>99</v>
      </c>
      <c r="F35" s="6" t="s">
        <v>100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 t="s">
        <v>101</v>
      </c>
      <c r="B36" s="3" t="s">
        <v>102</v>
      </c>
      <c r="C36" s="3" t="s">
        <v>103</v>
      </c>
      <c r="D36" s="3" t="s">
        <v>104</v>
      </c>
      <c r="E36" s="7" t="s">
        <v>99</v>
      </c>
      <c r="F36" s="6" t="s">
        <v>100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12" t="s">
        <v>105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4" t="s">
        <v>106</v>
      </c>
      <c r="B39" s="3" t="s">
        <v>107</v>
      </c>
      <c r="C39" s="3" t="s">
        <v>107</v>
      </c>
      <c r="D39" s="4" t="s">
        <v>108</v>
      </c>
      <c r="E39" s="7" t="s">
        <v>61</v>
      </c>
      <c r="F39" s="6" t="s">
        <v>109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4" t="s">
        <v>110</v>
      </c>
      <c r="B40" s="3" t="s">
        <v>111</v>
      </c>
      <c r="C40" s="3" t="s">
        <v>112</v>
      </c>
      <c r="D40" s="4" t="s">
        <v>113</v>
      </c>
      <c r="E40" s="7" t="s">
        <v>61</v>
      </c>
      <c r="F40" s="6" t="s">
        <v>109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4" t="s">
        <v>114</v>
      </c>
      <c r="B41" s="3" t="s">
        <v>115</v>
      </c>
      <c r="C41" s="3" t="s">
        <v>115</v>
      </c>
      <c r="D41" s="4" t="s">
        <v>116</v>
      </c>
      <c r="E41" s="7" t="s">
        <v>61</v>
      </c>
      <c r="F41" s="6" t="s">
        <v>117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12" t="s">
        <v>118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4" t="s">
        <v>119</v>
      </c>
      <c r="B44" s="3" t="s">
        <v>120</v>
      </c>
      <c r="C44" s="3" t="s">
        <v>120</v>
      </c>
      <c r="D44" s="4" t="s">
        <v>121</v>
      </c>
      <c r="E44" s="4" t="s">
        <v>122</v>
      </c>
      <c r="F44" s="13" t="s">
        <v>123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14" t="s">
        <v>124</v>
      </c>
      <c r="B50" s="15"/>
      <c r="C50" s="16"/>
      <c r="D50" s="16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17" t="s">
        <v>125</v>
      </c>
      <c r="B51" s="18"/>
      <c r="C51" s="19"/>
      <c r="D51" s="19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20" t="s">
        <v>126</v>
      </c>
      <c r="B52" s="18"/>
      <c r="C52" s="19"/>
      <c r="D52" s="19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20" t="s">
        <v>127</v>
      </c>
      <c r="B53" s="18"/>
      <c r="C53" s="19"/>
      <c r="D53" s="19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20" t="s">
        <v>128</v>
      </c>
      <c r="B54" s="18"/>
      <c r="C54" s="19"/>
      <c r="D54" s="19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20" t="s">
        <v>129</v>
      </c>
      <c r="B55" s="18"/>
      <c r="C55" s="19"/>
      <c r="D55" s="19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21" t="s">
        <v>130</v>
      </c>
      <c r="B56" s="22"/>
      <c r="C56" s="19"/>
      <c r="D56" s="19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19"/>
      <c r="C57" s="19"/>
      <c r="D57" s="19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19"/>
      <c r="C58" s="19"/>
      <c r="D58" s="19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19"/>
      <c r="C59" s="19"/>
      <c r="D59" s="19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19"/>
      <c r="C60" s="19"/>
      <c r="D60" s="19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19"/>
      <c r="C61" s="19"/>
      <c r="D61" s="19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19"/>
      <c r="C62" s="19"/>
      <c r="D62" s="19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19"/>
      <c r="C63" s="19"/>
      <c r="D63" s="19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19"/>
      <c r="C64" s="19"/>
      <c r="D64" s="19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19"/>
      <c r="C65" s="19"/>
      <c r="D65" s="19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19"/>
      <c r="C66" s="19"/>
      <c r="D66" s="19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19"/>
      <c r="C67" s="19"/>
      <c r="D67" s="19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19"/>
      <c r="C68" s="19"/>
      <c r="D68" s="19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19"/>
      <c r="C69" s="19"/>
      <c r="D69" s="19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19"/>
      <c r="C70" s="19"/>
      <c r="D70" s="19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19"/>
      <c r="C71" s="19"/>
      <c r="D71" s="19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19"/>
      <c r="C72" s="19"/>
      <c r="D72" s="19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19"/>
      <c r="C73" s="19"/>
      <c r="D73" s="19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19"/>
      <c r="C74" s="19"/>
      <c r="D74" s="19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19"/>
      <c r="C75" s="19"/>
      <c r="D75" s="19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19"/>
      <c r="C76" s="19"/>
      <c r="D76" s="19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19"/>
      <c r="C77" s="19"/>
      <c r="D77" s="19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19"/>
      <c r="C78" s="19"/>
      <c r="D78" s="19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19"/>
      <c r="C79" s="19"/>
      <c r="D79" s="19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</sheetData>
  <hyperlinks>
    <hyperlink r:id="rId4" ref="E6"/>
    <hyperlink r:id="rId5" ref="E9"/>
    <hyperlink r:id="rId6" ref="F9"/>
    <hyperlink r:id="rId7" ref="E10"/>
    <hyperlink r:id="rId8" ref="F10"/>
    <hyperlink r:id="rId9" ref="F11"/>
    <hyperlink r:id="rId10" ref="F12"/>
    <hyperlink r:id="rId11" ref="E15"/>
    <hyperlink r:id="rId12" ref="F15"/>
    <hyperlink r:id="rId13" ref="E16"/>
    <hyperlink r:id="rId14" ref="F16"/>
    <hyperlink r:id="rId15" ref="E20"/>
    <hyperlink r:id="rId16" ref="F20"/>
    <hyperlink r:id="rId17" ref="E24"/>
    <hyperlink r:id="rId18" ref="F24"/>
    <hyperlink r:id="rId19" ref="E25"/>
    <hyperlink r:id="rId20" ref="E28"/>
    <hyperlink r:id="rId21" ref="F28"/>
    <hyperlink r:id="rId22" ref="E29"/>
    <hyperlink r:id="rId23" ref="E32"/>
    <hyperlink r:id="rId24" ref="F32"/>
    <hyperlink r:id="rId25" ref="E35"/>
    <hyperlink r:id="rId26" ref="F35"/>
    <hyperlink r:id="rId27" ref="E36"/>
    <hyperlink r:id="rId28" ref="F36"/>
    <hyperlink r:id="rId29" ref="E39"/>
    <hyperlink r:id="rId30" ref="F39"/>
    <hyperlink r:id="rId31" ref="E40"/>
    <hyperlink r:id="rId32" ref="F40"/>
    <hyperlink r:id="rId33" ref="E41"/>
    <hyperlink r:id="rId34" ref="F4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5"/>
  <legacyDrawing r:id="rId3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63"/>
    <col customWidth="1" min="2" max="2" width="81.5"/>
    <col customWidth="1" min="3" max="3" width="36.63"/>
    <col customWidth="1" min="4" max="4" width="79.75"/>
  </cols>
  <sheetData>
    <row r="1">
      <c r="A1" s="2" t="s">
        <v>131</v>
      </c>
      <c r="B1" s="2" t="s">
        <v>3</v>
      </c>
      <c r="C1" s="2" t="s">
        <v>4</v>
      </c>
      <c r="D1" s="2" t="s">
        <v>132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10</v>
      </c>
      <c r="B4" s="4" t="s">
        <v>133</v>
      </c>
      <c r="C4" s="4" t="s">
        <v>14</v>
      </c>
      <c r="D4" s="4" t="s">
        <v>134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43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135</v>
      </c>
      <c r="B7" s="3" t="s">
        <v>136</v>
      </c>
      <c r="C7" s="7" t="s">
        <v>46</v>
      </c>
      <c r="D7" s="3" t="s">
        <v>137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138</v>
      </c>
      <c r="B8" s="3" t="s">
        <v>139</v>
      </c>
      <c r="C8" s="7" t="s">
        <v>46</v>
      </c>
      <c r="D8" s="3" t="s">
        <v>137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140</v>
      </c>
      <c r="B9" s="3" t="s">
        <v>141</v>
      </c>
      <c r="C9" s="7" t="s">
        <v>46</v>
      </c>
      <c r="D9" s="3" t="s">
        <v>137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142</v>
      </c>
      <c r="B10" s="3" t="s">
        <v>143</v>
      </c>
      <c r="C10" s="7" t="s">
        <v>144</v>
      </c>
      <c r="D10" s="3" t="s">
        <v>145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 t="s">
        <v>51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146</v>
      </c>
      <c r="B13" s="3" t="s">
        <v>147</v>
      </c>
      <c r="C13" s="7" t="s">
        <v>148</v>
      </c>
      <c r="D13" s="4" t="s">
        <v>149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63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9" t="s">
        <v>64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150</v>
      </c>
      <c r="B17" s="3" t="s">
        <v>151</v>
      </c>
      <c r="C17" s="7" t="s">
        <v>150</v>
      </c>
      <c r="D17" s="4" t="s">
        <v>152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153</v>
      </c>
      <c r="B18" s="3" t="s">
        <v>154</v>
      </c>
      <c r="C18" s="7" t="s">
        <v>155</v>
      </c>
      <c r="D18" s="3" t="s">
        <v>156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3" t="s">
        <v>157</v>
      </c>
      <c r="B19" s="3" t="s">
        <v>151</v>
      </c>
      <c r="C19" s="24" t="s">
        <v>157</v>
      </c>
      <c r="D19" s="25" t="s">
        <v>158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7"/>
      <c r="E20" s="26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9" t="s">
        <v>76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">
        <v>159</v>
      </c>
      <c r="B22" s="3" t="s">
        <v>160</v>
      </c>
      <c r="C22" s="7" t="s">
        <v>161</v>
      </c>
      <c r="D22" s="3" t="s">
        <v>162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 t="s">
        <v>163</v>
      </c>
      <c r="B23" s="3" t="s">
        <v>164</v>
      </c>
      <c r="C23" s="7" t="s">
        <v>81</v>
      </c>
      <c r="D23" s="4" t="s">
        <v>165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 t="s">
        <v>166</v>
      </c>
      <c r="B24" s="3" t="s">
        <v>167</v>
      </c>
      <c r="C24" s="7" t="s">
        <v>81</v>
      </c>
      <c r="D24" s="4" t="s">
        <v>168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 t="s">
        <v>169</v>
      </c>
      <c r="B25" s="3" t="s">
        <v>170</v>
      </c>
      <c r="C25" s="7" t="s">
        <v>81</v>
      </c>
      <c r="D25" s="4" t="s">
        <v>168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 t="s">
        <v>171</v>
      </c>
      <c r="B26" s="3" t="s">
        <v>172</v>
      </c>
      <c r="C26" s="7" t="s">
        <v>81</v>
      </c>
      <c r="D26" s="4" t="s">
        <v>168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 t="s">
        <v>173</v>
      </c>
      <c r="B27" s="4" t="s">
        <v>174</v>
      </c>
      <c r="C27" s="27" t="s">
        <v>175</v>
      </c>
      <c r="D27" s="28" t="s">
        <v>176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9"/>
      <c r="B28" s="7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9" t="s">
        <v>87</v>
      </c>
      <c r="B29" s="7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 t="s">
        <v>177</v>
      </c>
      <c r="B30" s="3" t="s">
        <v>178</v>
      </c>
      <c r="C30" s="7" t="s">
        <v>155</v>
      </c>
      <c r="D30" s="3" t="s">
        <v>179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1" t="s">
        <v>180</v>
      </c>
      <c r="B31" s="28" t="s">
        <v>181</v>
      </c>
      <c r="C31" s="29" t="s">
        <v>182</v>
      </c>
      <c r="D31" s="4" t="s">
        <v>183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7"/>
      <c r="E32" s="26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" t="s">
        <v>94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 t="s">
        <v>184</v>
      </c>
      <c r="B34" s="3" t="s">
        <v>185</v>
      </c>
      <c r="C34" s="7" t="s">
        <v>61</v>
      </c>
      <c r="D34" s="3" t="s">
        <v>186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 t="s">
        <v>187</v>
      </c>
      <c r="B35" s="3" t="s">
        <v>188</v>
      </c>
      <c r="C35" s="7" t="s">
        <v>61</v>
      </c>
      <c r="D35" s="3" t="s">
        <v>186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 t="s">
        <v>189</v>
      </c>
      <c r="B36" s="3" t="s">
        <v>190</v>
      </c>
      <c r="C36" s="7" t="s">
        <v>99</v>
      </c>
      <c r="D36" s="3" t="s">
        <v>191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 t="s">
        <v>192</v>
      </c>
      <c r="B37" s="3" t="s">
        <v>193</v>
      </c>
      <c r="C37" s="7" t="s">
        <v>99</v>
      </c>
      <c r="D37" s="3" t="s">
        <v>191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 t="s">
        <v>194</v>
      </c>
      <c r="B38" s="3" t="s">
        <v>195</v>
      </c>
      <c r="C38" s="7" t="s">
        <v>196</v>
      </c>
      <c r="D38" s="3" t="s">
        <v>197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 t="s">
        <v>198</v>
      </c>
      <c r="B39" s="3" t="s">
        <v>199</v>
      </c>
      <c r="C39" s="7" t="s">
        <v>196</v>
      </c>
      <c r="D39" s="3" t="s">
        <v>200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 t="s">
        <v>201</v>
      </c>
      <c r="B40" s="3" t="s">
        <v>202</v>
      </c>
      <c r="C40" s="7" t="s">
        <v>196</v>
      </c>
      <c r="D40" s="3" t="s">
        <v>200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 t="s">
        <v>203</v>
      </c>
      <c r="B41" s="3" t="s">
        <v>204</v>
      </c>
      <c r="C41" s="7" t="s">
        <v>99</v>
      </c>
      <c r="D41" s="4" t="s">
        <v>168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" t="s">
        <v>205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 t="s">
        <v>206</v>
      </c>
      <c r="B44" s="3" t="s">
        <v>207</v>
      </c>
      <c r="C44" s="7" t="s">
        <v>208</v>
      </c>
      <c r="D44" s="4" t="s">
        <v>209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" t="s">
        <v>210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211</v>
      </c>
      <c r="B47" s="4" t="s">
        <v>212</v>
      </c>
      <c r="C47" s="3"/>
      <c r="D47" s="4" t="s">
        <v>213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2" t="s">
        <v>214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215</v>
      </c>
      <c r="B50" s="4" t="s">
        <v>216</v>
      </c>
      <c r="C50" s="7" t="s">
        <v>61</v>
      </c>
      <c r="D50" s="4" t="s">
        <v>217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</sheetData>
  <hyperlinks>
    <hyperlink r:id="rId1" ref="C7"/>
    <hyperlink r:id="rId2" ref="C8"/>
    <hyperlink r:id="rId3" ref="C9"/>
    <hyperlink r:id="rId4" ref="C10"/>
    <hyperlink r:id="rId5" ref="C13"/>
    <hyperlink r:id="rId6" ref="C17"/>
    <hyperlink r:id="rId7" ref="C18"/>
    <hyperlink r:id="rId8" ref="C19"/>
    <hyperlink r:id="rId9" ref="C22"/>
    <hyperlink r:id="rId10" ref="C23"/>
    <hyperlink r:id="rId11" ref="C24"/>
    <hyperlink r:id="rId12" ref="C25"/>
    <hyperlink r:id="rId13" ref="C26"/>
    <hyperlink r:id="rId14" ref="C27"/>
    <hyperlink r:id="rId15" ref="C30"/>
    <hyperlink r:id="rId16" ref="C31"/>
    <hyperlink r:id="rId17" ref="C34"/>
    <hyperlink r:id="rId18" ref="C35"/>
    <hyperlink r:id="rId19" ref="C36"/>
    <hyperlink r:id="rId20" ref="C37"/>
    <hyperlink r:id="rId21" ref="C38"/>
    <hyperlink r:id="rId22" ref="C39"/>
    <hyperlink r:id="rId23" ref="C40"/>
    <hyperlink r:id="rId24" ref="C41"/>
    <hyperlink r:id="rId25" ref="C44"/>
    <hyperlink r:id="rId26" ref="C50"/>
  </hyperlinks>
  <drawing r:id="rId2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8" max="8" width="13.63"/>
  </cols>
  <sheetData>
    <row r="1">
      <c r="A1" s="30"/>
      <c r="B1" s="31" t="s">
        <v>218</v>
      </c>
      <c r="C1" s="30" t="s">
        <v>219</v>
      </c>
      <c r="D1" s="30" t="s">
        <v>220</v>
      </c>
      <c r="E1" s="12" t="s">
        <v>221</v>
      </c>
    </row>
    <row r="2">
      <c r="A2" s="32" t="s">
        <v>222</v>
      </c>
      <c r="B2" s="33">
        <v>0.82</v>
      </c>
      <c r="C2" s="34">
        <v>0.76</v>
      </c>
      <c r="D2" s="35">
        <v>0.36</v>
      </c>
      <c r="E2" s="36">
        <f t="shared" ref="E2:E28" si="1">(abs(B2)+abs(C2)+abs(D2))/3</f>
        <v>0.6466666667</v>
      </c>
    </row>
    <row r="3">
      <c r="A3" s="32" t="s">
        <v>223</v>
      </c>
      <c r="B3" s="37">
        <v>0.71</v>
      </c>
      <c r="C3" s="34">
        <v>0.76</v>
      </c>
      <c r="D3" s="35">
        <v>0.36</v>
      </c>
      <c r="E3" s="38">
        <f t="shared" si="1"/>
        <v>0.61</v>
      </c>
    </row>
    <row r="4">
      <c r="A4" s="39" t="s">
        <v>224</v>
      </c>
      <c r="B4" s="40">
        <v>0.84</v>
      </c>
      <c r="C4" s="41">
        <v>0.37</v>
      </c>
      <c r="D4" s="42">
        <v>0.24</v>
      </c>
      <c r="E4" s="43">
        <f t="shared" si="1"/>
        <v>0.4833333333</v>
      </c>
      <c r="G4" s="4"/>
      <c r="H4" s="3"/>
      <c r="I4" s="3"/>
    </row>
    <row r="5">
      <c r="A5" s="39" t="s">
        <v>225</v>
      </c>
      <c r="B5" s="44">
        <v>0.83</v>
      </c>
      <c r="C5" s="45">
        <v>0.31</v>
      </c>
      <c r="D5" s="42">
        <v>0.24</v>
      </c>
      <c r="E5" s="46">
        <f t="shared" si="1"/>
        <v>0.46</v>
      </c>
      <c r="G5" s="4"/>
      <c r="H5" s="3"/>
      <c r="I5" s="47"/>
      <c r="J5" s="3"/>
      <c r="K5" s="3"/>
      <c r="L5" s="3"/>
      <c r="M5" s="3"/>
      <c r="N5" s="3"/>
    </row>
    <row r="6">
      <c r="A6" s="39" t="s">
        <v>226</v>
      </c>
      <c r="B6" s="48">
        <v>0.67</v>
      </c>
      <c r="C6" s="49">
        <v>0.35</v>
      </c>
      <c r="D6" s="42">
        <v>0.24</v>
      </c>
      <c r="E6" s="50">
        <f t="shared" si="1"/>
        <v>0.42</v>
      </c>
      <c r="G6" s="4"/>
      <c r="H6" s="3"/>
      <c r="I6" s="47"/>
      <c r="J6" s="47"/>
      <c r="K6" s="47"/>
      <c r="L6" s="47"/>
      <c r="M6" s="47"/>
      <c r="N6" s="47"/>
    </row>
    <row r="7">
      <c r="A7" s="51" t="s">
        <v>227</v>
      </c>
      <c r="B7" s="52">
        <v>0.49</v>
      </c>
      <c r="C7" s="53">
        <v>0.25</v>
      </c>
      <c r="D7" s="54">
        <v>0.29</v>
      </c>
      <c r="E7" s="55">
        <f t="shared" si="1"/>
        <v>0.3433333333</v>
      </c>
      <c r="G7" s="4"/>
      <c r="H7" s="3"/>
      <c r="I7" s="47"/>
      <c r="J7" s="47"/>
      <c r="K7" s="47"/>
      <c r="L7" s="47"/>
      <c r="M7" s="47"/>
      <c r="N7" s="47"/>
    </row>
    <row r="8">
      <c r="A8" s="56" t="s">
        <v>228</v>
      </c>
      <c r="B8" s="57">
        <v>0.43</v>
      </c>
      <c r="C8" s="58">
        <v>0.22</v>
      </c>
      <c r="D8" s="59">
        <v>0.25</v>
      </c>
      <c r="E8" s="60">
        <f t="shared" si="1"/>
        <v>0.3</v>
      </c>
      <c r="G8" s="4"/>
      <c r="H8" s="3"/>
      <c r="I8" s="47"/>
      <c r="J8" s="47"/>
      <c r="K8" s="47"/>
      <c r="L8" s="47"/>
      <c r="M8" s="47"/>
      <c r="N8" s="47"/>
    </row>
    <row r="9">
      <c r="A9" s="61" t="s">
        <v>229</v>
      </c>
      <c r="B9" s="62">
        <v>-0.36</v>
      </c>
      <c r="C9" s="63">
        <v>-0.26</v>
      </c>
      <c r="D9" s="64">
        <v>-0.27</v>
      </c>
      <c r="E9" s="65">
        <f t="shared" si="1"/>
        <v>0.2966666667</v>
      </c>
      <c r="G9" s="4"/>
      <c r="H9" s="3"/>
      <c r="I9" s="47"/>
      <c r="J9" s="47"/>
      <c r="K9" s="47"/>
      <c r="L9" s="47"/>
      <c r="M9" s="47"/>
      <c r="N9" s="47"/>
    </row>
    <row r="10">
      <c r="A10" s="66" t="s">
        <v>230</v>
      </c>
      <c r="B10" s="67">
        <v>0.65</v>
      </c>
      <c r="C10" s="68">
        <v>-0.13</v>
      </c>
      <c r="D10" s="69">
        <v>-0.08</v>
      </c>
      <c r="E10" s="70">
        <f t="shared" si="1"/>
        <v>0.2866666667</v>
      </c>
      <c r="G10" s="4"/>
      <c r="H10" s="3"/>
      <c r="I10" s="47"/>
      <c r="J10" s="47"/>
      <c r="K10" s="47"/>
      <c r="L10" s="47"/>
      <c r="M10" s="47"/>
      <c r="N10" s="47"/>
    </row>
    <row r="11">
      <c r="A11" s="71" t="s">
        <v>231</v>
      </c>
      <c r="B11" s="72">
        <v>0.36</v>
      </c>
      <c r="C11" s="73">
        <v>0.24</v>
      </c>
      <c r="D11" s="74">
        <v>0.24</v>
      </c>
      <c r="E11" s="55">
        <f t="shared" si="1"/>
        <v>0.28</v>
      </c>
      <c r="G11" s="4"/>
      <c r="H11" s="3"/>
      <c r="I11" s="47"/>
      <c r="J11" s="47"/>
      <c r="K11" s="47"/>
      <c r="L11" s="47"/>
      <c r="M11" s="47"/>
      <c r="N11" s="47"/>
    </row>
    <row r="12">
      <c r="A12" s="71" t="s">
        <v>232</v>
      </c>
      <c r="B12" s="75">
        <v>0.24</v>
      </c>
      <c r="C12" s="76">
        <v>0.18</v>
      </c>
      <c r="D12" s="77">
        <v>0.36</v>
      </c>
      <c r="E12" s="78">
        <f t="shared" si="1"/>
        <v>0.26</v>
      </c>
      <c r="J12" s="47"/>
      <c r="K12" s="47"/>
      <c r="L12" s="47"/>
      <c r="M12" s="47"/>
      <c r="N12" s="47"/>
    </row>
    <row r="13">
      <c r="A13" s="39" t="s">
        <v>233</v>
      </c>
      <c r="B13" s="79">
        <v>0.42</v>
      </c>
      <c r="C13" s="80">
        <v>0.19</v>
      </c>
      <c r="D13" s="81">
        <v>0.12</v>
      </c>
      <c r="E13" s="82">
        <f t="shared" si="1"/>
        <v>0.2433333333</v>
      </c>
    </row>
    <row r="14">
      <c r="A14" s="71" t="s">
        <v>234</v>
      </c>
      <c r="B14" s="83">
        <v>0.14</v>
      </c>
      <c r="C14" s="84">
        <v>0.2</v>
      </c>
      <c r="D14" s="77">
        <v>0.32</v>
      </c>
      <c r="E14" s="85">
        <f t="shared" si="1"/>
        <v>0.22</v>
      </c>
    </row>
    <row r="15">
      <c r="A15" s="86" t="s">
        <v>235</v>
      </c>
      <c r="B15" s="87">
        <v>0.18</v>
      </c>
      <c r="C15" s="88">
        <v>0.15</v>
      </c>
      <c r="D15" s="89">
        <v>0.3</v>
      </c>
      <c r="E15" s="90">
        <f t="shared" si="1"/>
        <v>0.21</v>
      </c>
    </row>
    <row r="16">
      <c r="A16" s="91" t="s">
        <v>236</v>
      </c>
      <c r="B16" s="42">
        <v>0.24</v>
      </c>
      <c r="C16" s="88">
        <v>0.15</v>
      </c>
      <c r="D16" s="92">
        <v>0.22</v>
      </c>
      <c r="E16" s="93">
        <f t="shared" si="1"/>
        <v>0.2033333333</v>
      </c>
    </row>
    <row r="17">
      <c r="A17" s="91" t="s">
        <v>237</v>
      </c>
      <c r="B17" s="64">
        <v>-0.27</v>
      </c>
      <c r="C17" s="94">
        <v>-0.04</v>
      </c>
      <c r="D17" s="95">
        <v>-0.3</v>
      </c>
      <c r="E17" s="93">
        <f t="shared" si="1"/>
        <v>0.2033333333</v>
      </c>
    </row>
    <row r="18">
      <c r="A18" s="91" t="s">
        <v>238</v>
      </c>
      <c r="B18" s="53">
        <v>0.25</v>
      </c>
      <c r="C18" s="96">
        <v>0.13</v>
      </c>
      <c r="D18" s="92">
        <v>0.22</v>
      </c>
      <c r="E18" s="97">
        <f t="shared" si="1"/>
        <v>0.2</v>
      </c>
    </row>
    <row r="19">
      <c r="A19" s="66" t="s">
        <v>239</v>
      </c>
      <c r="B19" s="98">
        <v>-0.07</v>
      </c>
      <c r="C19" s="99">
        <v>-0.42</v>
      </c>
      <c r="D19" s="100">
        <v>-0.09</v>
      </c>
      <c r="E19" s="101">
        <f t="shared" si="1"/>
        <v>0.1933333333</v>
      </c>
    </row>
    <row r="20">
      <c r="A20" s="56" t="s">
        <v>240</v>
      </c>
      <c r="B20" s="100">
        <v>-0.09</v>
      </c>
      <c r="C20" s="102">
        <v>0.32</v>
      </c>
      <c r="D20" s="103">
        <v>-0.13</v>
      </c>
      <c r="E20" s="104">
        <f t="shared" si="1"/>
        <v>0.18</v>
      </c>
    </row>
    <row r="21">
      <c r="A21" s="71" t="s">
        <v>241</v>
      </c>
      <c r="B21" s="92">
        <v>0.22</v>
      </c>
      <c r="C21" s="96">
        <v>0.13</v>
      </c>
      <c r="D21" s="81">
        <v>0.12</v>
      </c>
      <c r="E21" s="105">
        <f t="shared" si="1"/>
        <v>0.1566666667</v>
      </c>
    </row>
    <row r="22">
      <c r="A22" s="106" t="s">
        <v>242</v>
      </c>
      <c r="B22" s="96">
        <v>0.13</v>
      </c>
      <c r="C22" s="107">
        <v>0.17</v>
      </c>
      <c r="D22" s="108">
        <v>0.16</v>
      </c>
      <c r="E22" s="109">
        <f t="shared" si="1"/>
        <v>0.1533333333</v>
      </c>
    </row>
    <row r="23">
      <c r="A23" s="66" t="s">
        <v>243</v>
      </c>
      <c r="B23" s="110">
        <v>0.28</v>
      </c>
      <c r="C23" s="111">
        <v>0.09</v>
      </c>
      <c r="D23" s="112">
        <v>0.08</v>
      </c>
      <c r="E23" s="113">
        <f t="shared" si="1"/>
        <v>0.15</v>
      </c>
    </row>
    <row r="24">
      <c r="A24" s="86" t="s">
        <v>244</v>
      </c>
      <c r="B24" s="114">
        <v>-0.16</v>
      </c>
      <c r="C24" s="115">
        <v>-0.12</v>
      </c>
      <c r="D24" s="114">
        <v>-0.16</v>
      </c>
      <c r="E24" s="116">
        <f t="shared" si="1"/>
        <v>0.1466666667</v>
      </c>
    </row>
    <row r="25">
      <c r="A25" s="91" t="s">
        <v>245</v>
      </c>
      <c r="B25" s="117">
        <v>-0.06</v>
      </c>
      <c r="C25" s="92">
        <v>0.22</v>
      </c>
      <c r="D25" s="118">
        <v>-0.14</v>
      </c>
      <c r="E25" s="119">
        <f t="shared" si="1"/>
        <v>0.14</v>
      </c>
    </row>
    <row r="26">
      <c r="A26" s="120" t="s">
        <v>246</v>
      </c>
      <c r="B26" s="121">
        <v>-0.23</v>
      </c>
      <c r="C26" s="122">
        <v>0.14</v>
      </c>
      <c r="D26" s="123">
        <v>0.05</v>
      </c>
      <c r="E26" s="119">
        <f t="shared" si="1"/>
        <v>0.14</v>
      </c>
    </row>
    <row r="27">
      <c r="A27" s="120" t="s">
        <v>247</v>
      </c>
      <c r="B27" s="124">
        <v>-0.24</v>
      </c>
      <c r="C27" s="100">
        <v>-0.09</v>
      </c>
      <c r="D27" s="117">
        <v>-0.06</v>
      </c>
      <c r="E27" s="125">
        <f t="shared" si="1"/>
        <v>0.13</v>
      </c>
    </row>
    <row r="28">
      <c r="A28" s="126" t="s">
        <v>248</v>
      </c>
      <c r="B28" s="127">
        <v>0.02</v>
      </c>
      <c r="C28" s="127">
        <v>0.02</v>
      </c>
      <c r="D28" s="128">
        <v>0.03</v>
      </c>
      <c r="E28" s="129">
        <f t="shared" si="1"/>
        <v>0.02333333333</v>
      </c>
    </row>
    <row r="29">
      <c r="A29" s="12" t="s">
        <v>249</v>
      </c>
      <c r="B29" s="130">
        <f t="array" ref="B29">AVERAGE(ABS(B2:B28))</f>
        <v>0.3481481481</v>
      </c>
      <c r="C29" s="130">
        <f t="array" ref="C29">AVERAGE(ABS(C2:C28))</f>
        <v>0.2374074074</v>
      </c>
      <c r="D29" s="130">
        <f t="array" ref="D29">AVERAGE(ABS(D2:D28))</f>
        <v>0.2011111111</v>
      </c>
      <c r="E29" s="3"/>
    </row>
    <row r="30">
      <c r="A30" s="131" t="s">
        <v>250</v>
      </c>
    </row>
    <row r="35">
      <c r="B35" s="3"/>
    </row>
  </sheetData>
  <mergeCells count="1">
    <mergeCell ref="A30:E32"/>
  </mergeCells>
  <conditionalFormatting sqref="E2:E28">
    <cfRule type="colorScale" priority="1">
      <colorScale>
        <cfvo type="min"/>
        <cfvo type="percent" val="50"/>
        <cfvo type="max"/>
        <color rgb="FF0000FF"/>
        <color rgb="FFEAD1DC"/>
        <color rgb="FFEA9999"/>
      </colorScale>
    </cfRule>
  </conditionalFormatting>
  <conditionalFormatting sqref="B2:D27">
    <cfRule type="colorScale" priority="2">
      <colorScale>
        <cfvo type="min"/>
        <cfvo type="percent" val="50"/>
        <cfvo type="max"/>
        <color rgb="FFC9DAF8"/>
        <color rgb="FFB4A7D6"/>
        <color rgb="FFE06666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</cols>
  <sheetData>
    <row r="1">
      <c r="A1" s="132"/>
      <c r="B1" s="133"/>
      <c r="C1" s="134" t="s">
        <v>251</v>
      </c>
      <c r="D1" s="135"/>
      <c r="E1" s="135"/>
      <c r="F1" s="135"/>
      <c r="G1" s="135"/>
      <c r="H1" s="136"/>
      <c r="I1" s="137"/>
      <c r="J1" s="134" t="s">
        <v>252</v>
      </c>
      <c r="K1" s="135"/>
      <c r="L1" s="135"/>
      <c r="M1" s="135"/>
      <c r="N1" s="135"/>
      <c r="O1" s="136"/>
      <c r="P1" s="138" t="s">
        <v>253</v>
      </c>
      <c r="Q1" s="139"/>
    </row>
    <row r="2">
      <c r="A2" s="140" t="s">
        <v>0</v>
      </c>
      <c r="B2" s="141" t="s">
        <v>254</v>
      </c>
      <c r="C2" s="142" t="s">
        <v>255</v>
      </c>
      <c r="D2" s="143" t="s">
        <v>256</v>
      </c>
      <c r="E2" s="143" t="s">
        <v>257</v>
      </c>
      <c r="F2" s="143" t="s">
        <v>258</v>
      </c>
      <c r="G2" s="143" t="s">
        <v>259</v>
      </c>
      <c r="H2" s="144" t="s">
        <v>260</v>
      </c>
      <c r="I2" s="141" t="s">
        <v>254</v>
      </c>
      <c r="J2" s="142" t="s">
        <v>255</v>
      </c>
      <c r="K2" s="143" t="s">
        <v>256</v>
      </c>
      <c r="L2" s="143" t="s">
        <v>257</v>
      </c>
      <c r="M2" s="143" t="s">
        <v>258</v>
      </c>
      <c r="N2" s="143" t="s">
        <v>259</v>
      </c>
      <c r="O2" s="144" t="s">
        <v>260</v>
      </c>
      <c r="P2" s="145" t="s">
        <v>257</v>
      </c>
      <c r="Q2" s="146" t="s">
        <v>261</v>
      </c>
    </row>
    <row r="3">
      <c r="A3" s="147" t="s">
        <v>7</v>
      </c>
      <c r="B3" s="148">
        <v>2000.0</v>
      </c>
      <c r="C3" s="149">
        <v>-1.85</v>
      </c>
      <c r="D3" s="150">
        <v>-0.25</v>
      </c>
      <c r="E3" s="150">
        <v>0.42</v>
      </c>
      <c r="F3" s="150">
        <v>0.43</v>
      </c>
      <c r="G3" s="150">
        <v>1.1</v>
      </c>
      <c r="H3" s="151">
        <v>2.87</v>
      </c>
      <c r="I3" s="148">
        <v>19248.0</v>
      </c>
      <c r="J3" s="149">
        <v>-3.71</v>
      </c>
      <c r="K3" s="150">
        <v>-0.67</v>
      </c>
      <c r="L3" s="152">
        <v>0.0</v>
      </c>
      <c r="M3" s="150">
        <v>0.04</v>
      </c>
      <c r="N3" s="150">
        <v>0.67</v>
      </c>
      <c r="O3" s="151">
        <v>4.38</v>
      </c>
      <c r="P3" s="153">
        <v>45.0</v>
      </c>
      <c r="Q3" s="154">
        <v>11.8608</v>
      </c>
    </row>
    <row r="4">
      <c r="A4" s="147" t="s">
        <v>262</v>
      </c>
      <c r="B4" s="148">
        <v>2000.0</v>
      </c>
      <c r="C4" s="149">
        <v>-2.88</v>
      </c>
      <c r="D4" s="150">
        <v>-0.17</v>
      </c>
      <c r="E4" s="150">
        <v>0.45</v>
      </c>
      <c r="F4" s="150">
        <v>0.38</v>
      </c>
      <c r="G4" s="150">
        <v>0.98</v>
      </c>
      <c r="H4" s="151">
        <v>2.36</v>
      </c>
      <c r="I4" s="148">
        <v>19250.0</v>
      </c>
      <c r="J4" s="149">
        <v>-3.38</v>
      </c>
      <c r="K4" s="150">
        <v>-0.7</v>
      </c>
      <c r="L4" s="152">
        <v>0.0</v>
      </c>
      <c r="M4" s="150">
        <v>-0.03</v>
      </c>
      <c r="N4" s="150">
        <v>0.65</v>
      </c>
      <c r="O4" s="151">
        <v>5.71</v>
      </c>
      <c r="P4" s="153">
        <v>-1.505</v>
      </c>
      <c r="Q4" s="154">
        <v>0.852495</v>
      </c>
    </row>
    <row r="5">
      <c r="A5" s="147" t="s">
        <v>263</v>
      </c>
      <c r="B5" s="148">
        <v>2000.0</v>
      </c>
      <c r="C5" s="149">
        <v>-4.8</v>
      </c>
      <c r="D5" s="150">
        <v>-0.1</v>
      </c>
      <c r="E5" s="150">
        <v>0.49</v>
      </c>
      <c r="F5" s="150">
        <v>0.4</v>
      </c>
      <c r="G5" s="150">
        <v>0.99</v>
      </c>
      <c r="H5" s="151">
        <v>3.68</v>
      </c>
      <c r="I5" s="148">
        <v>19250.0</v>
      </c>
      <c r="J5" s="149">
        <v>-9.08</v>
      </c>
      <c r="K5" s="150">
        <v>-0.7</v>
      </c>
      <c r="L5" s="152">
        <v>0.0</v>
      </c>
      <c r="M5" s="150">
        <v>-0.12</v>
      </c>
      <c r="N5" s="150">
        <v>0.65</v>
      </c>
      <c r="O5" s="151">
        <v>7.86</v>
      </c>
      <c r="P5" s="153">
        <v>-0.04</v>
      </c>
      <c r="Q5" s="154">
        <v>0.385476</v>
      </c>
    </row>
    <row r="6">
      <c r="A6" s="147" t="s">
        <v>264</v>
      </c>
      <c r="B6" s="148">
        <v>2000.0</v>
      </c>
      <c r="C6" s="149">
        <v>-6.24</v>
      </c>
      <c r="D6" s="150">
        <v>-0.92</v>
      </c>
      <c r="E6" s="150">
        <v>-0.12</v>
      </c>
      <c r="F6" s="150">
        <v>-0.29</v>
      </c>
      <c r="G6" s="150">
        <v>0.48</v>
      </c>
      <c r="H6" s="151">
        <v>2.94</v>
      </c>
      <c r="I6" s="148">
        <v>19250.0</v>
      </c>
      <c r="J6" s="149">
        <v>-7.01</v>
      </c>
      <c r="K6" s="150">
        <v>-0.72</v>
      </c>
      <c r="L6" s="152">
        <v>0.0</v>
      </c>
      <c r="M6" s="150">
        <v>-0.11</v>
      </c>
      <c r="N6" s="150">
        <v>0.65</v>
      </c>
      <c r="O6" s="151">
        <v>4.12</v>
      </c>
      <c r="P6" s="153">
        <v>-0.21</v>
      </c>
      <c r="Q6" s="154">
        <v>0.415128</v>
      </c>
    </row>
    <row r="7">
      <c r="A7" s="147" t="s">
        <v>265</v>
      </c>
      <c r="B7" s="148">
        <v>2000.0</v>
      </c>
      <c r="C7" s="149">
        <v>-6.13</v>
      </c>
      <c r="D7" s="150">
        <v>-1.53</v>
      </c>
      <c r="E7" s="150">
        <v>-0.69</v>
      </c>
      <c r="F7" s="150">
        <v>-0.88</v>
      </c>
      <c r="G7" s="150">
        <v>-0.02</v>
      </c>
      <c r="H7" s="151">
        <v>2.8</v>
      </c>
      <c r="I7" s="148">
        <v>19250.0</v>
      </c>
      <c r="J7" s="149">
        <v>-6.25</v>
      </c>
      <c r="K7" s="150">
        <v>-0.8</v>
      </c>
      <c r="L7" s="152">
        <v>0.0</v>
      </c>
      <c r="M7" s="150">
        <v>-0.2</v>
      </c>
      <c r="N7" s="150">
        <v>0.59</v>
      </c>
      <c r="O7" s="151">
        <v>5.64</v>
      </c>
      <c r="P7" s="153">
        <v>-0.49</v>
      </c>
      <c r="Q7" s="154">
        <v>0.489258</v>
      </c>
    </row>
    <row r="8">
      <c r="A8" s="147" t="s">
        <v>18</v>
      </c>
      <c r="B8" s="148">
        <v>1999.0</v>
      </c>
      <c r="C8" s="149">
        <v>0.0</v>
      </c>
      <c r="D8" s="150">
        <v>0.0</v>
      </c>
      <c r="E8" s="150">
        <v>0.0</v>
      </c>
      <c r="F8" s="150">
        <v>0.1</v>
      </c>
      <c r="G8" s="150">
        <v>0.0</v>
      </c>
      <c r="H8" s="151">
        <v>18.72</v>
      </c>
      <c r="I8" s="148">
        <v>19176.0</v>
      </c>
      <c r="J8" s="149">
        <v>0.0</v>
      </c>
      <c r="K8" s="150">
        <v>0.0</v>
      </c>
      <c r="L8" s="152">
        <v>0.0</v>
      </c>
      <c r="M8" s="150">
        <v>0.8</v>
      </c>
      <c r="N8" s="150">
        <v>0.0</v>
      </c>
      <c r="O8" s="151">
        <v>142.71</v>
      </c>
      <c r="P8" s="153">
        <v>0.0</v>
      </c>
      <c r="Q8" s="154">
        <v>0.05605691</v>
      </c>
    </row>
    <row r="9">
      <c r="A9" s="147" t="s">
        <v>24</v>
      </c>
      <c r="B9" s="148">
        <v>2000.0</v>
      </c>
      <c r="C9" s="149">
        <v>-1.12</v>
      </c>
      <c r="D9" s="150">
        <v>3.1</v>
      </c>
      <c r="E9" s="150">
        <v>3.23</v>
      </c>
      <c r="F9" s="150">
        <v>2.86</v>
      </c>
      <c r="G9" s="150">
        <v>3.26</v>
      </c>
      <c r="H9" s="151">
        <v>3.27</v>
      </c>
      <c r="I9" s="148">
        <v>19095.0</v>
      </c>
      <c r="J9" s="149">
        <v>-1.12</v>
      </c>
      <c r="K9" s="150">
        <v>-0.84</v>
      </c>
      <c r="L9" s="152">
        <v>0.0</v>
      </c>
      <c r="M9" s="150">
        <v>0.08</v>
      </c>
      <c r="N9" s="150">
        <v>0.52</v>
      </c>
      <c r="O9" s="151">
        <v>3.27</v>
      </c>
      <c r="P9" s="153">
        <v>2.28</v>
      </c>
      <c r="Q9" s="154">
        <v>2.028197</v>
      </c>
    </row>
    <row r="10">
      <c r="A10" s="147" t="s">
        <v>30</v>
      </c>
      <c r="B10" s="148">
        <v>1999.0</v>
      </c>
      <c r="C10" s="149">
        <v>-1.28</v>
      </c>
      <c r="D10" s="150">
        <v>2.68</v>
      </c>
      <c r="E10" s="150">
        <v>4.81</v>
      </c>
      <c r="F10" s="150">
        <v>4.1</v>
      </c>
      <c r="G10" s="150">
        <v>5.7</v>
      </c>
      <c r="H10" s="151">
        <v>6.08</v>
      </c>
      <c r="I10" s="148">
        <v>18964.0</v>
      </c>
      <c r="J10" s="149">
        <v>-1.32</v>
      </c>
      <c r="K10" s="150">
        <v>-0.81</v>
      </c>
      <c r="L10" s="152">
        <v>0.0</v>
      </c>
      <c r="M10" s="150">
        <v>0.0</v>
      </c>
      <c r="N10" s="150">
        <v>0.58</v>
      </c>
      <c r="O10" s="151">
        <v>5.76</v>
      </c>
      <c r="P10" s="153">
        <v>1.831</v>
      </c>
      <c r="Q10" s="154">
        <v>1.343236</v>
      </c>
    </row>
    <row r="11">
      <c r="A11" s="147" t="s">
        <v>35</v>
      </c>
      <c r="B11" s="148">
        <v>1916.0</v>
      </c>
      <c r="C11" s="149">
        <v>-1.03</v>
      </c>
      <c r="D11" s="150">
        <v>1.13</v>
      </c>
      <c r="E11" s="150">
        <v>1.43</v>
      </c>
      <c r="F11" s="150">
        <v>1.51</v>
      </c>
      <c r="G11" s="150">
        <v>1.97</v>
      </c>
      <c r="H11" s="151">
        <v>4.72</v>
      </c>
      <c r="I11" s="148">
        <v>18030.0</v>
      </c>
      <c r="J11" s="149">
        <v>-1.07</v>
      </c>
      <c r="K11" s="150">
        <v>-0.66</v>
      </c>
      <c r="L11" s="152">
        <v>0.0</v>
      </c>
      <c r="M11" s="150">
        <v>0.11</v>
      </c>
      <c r="N11" s="150">
        <v>0.71</v>
      </c>
      <c r="O11" s="151">
        <v>3.62</v>
      </c>
      <c r="P11" s="153">
        <v>1.74</v>
      </c>
      <c r="Q11" s="154">
        <v>1.618999</v>
      </c>
    </row>
    <row r="12">
      <c r="A12" s="147" t="s">
        <v>40</v>
      </c>
      <c r="B12" s="148">
        <v>1770.0</v>
      </c>
      <c r="C12" s="149">
        <v>-1.59</v>
      </c>
      <c r="D12" s="150">
        <v>0.31</v>
      </c>
      <c r="E12" s="150">
        <v>1.15</v>
      </c>
      <c r="F12" s="150">
        <v>1.19</v>
      </c>
      <c r="G12" s="150">
        <v>2.05</v>
      </c>
      <c r="H12" s="151">
        <v>3.46</v>
      </c>
      <c r="I12" s="148">
        <v>14454.0</v>
      </c>
      <c r="J12" s="149">
        <v>-1.68</v>
      </c>
      <c r="K12" s="150">
        <v>-0.64</v>
      </c>
      <c r="L12" s="152">
        <v>0.0</v>
      </c>
      <c r="M12" s="150">
        <v>0.1</v>
      </c>
      <c r="N12" s="150">
        <v>0.71</v>
      </c>
      <c r="O12" s="151">
        <v>3.33</v>
      </c>
      <c r="P12" s="153">
        <v>1.14</v>
      </c>
      <c r="Q12" s="154">
        <v>1.156428</v>
      </c>
    </row>
    <row r="13">
      <c r="A13" s="147" t="s">
        <v>44</v>
      </c>
      <c r="B13" s="148">
        <v>2000.0</v>
      </c>
      <c r="C13" s="149">
        <v>-1.12</v>
      </c>
      <c r="D13" s="150">
        <v>9.87</v>
      </c>
      <c r="E13" s="150">
        <v>24.61</v>
      </c>
      <c r="F13" s="150">
        <v>118.18</v>
      </c>
      <c r="G13" s="150">
        <v>54.8</v>
      </c>
      <c r="H13" s="151">
        <v>32853.11</v>
      </c>
      <c r="I13" s="148">
        <v>19250.0</v>
      </c>
      <c r="J13" s="149">
        <v>-1.18</v>
      </c>
      <c r="K13" s="150">
        <v>-0.59</v>
      </c>
      <c r="L13" s="152">
        <v>0.0</v>
      </c>
      <c r="M13" s="150">
        <v>1.25</v>
      </c>
      <c r="N13" s="150">
        <v>0.91</v>
      </c>
      <c r="O13" s="151">
        <v>636.03</v>
      </c>
      <c r="P13" s="153">
        <v>1.0</v>
      </c>
      <c r="Q13" s="154">
        <v>0.845082</v>
      </c>
    </row>
    <row r="14">
      <c r="A14" s="147" t="s">
        <v>266</v>
      </c>
      <c r="B14" s="148">
        <v>2000.0</v>
      </c>
      <c r="C14" s="149">
        <v>-1.0</v>
      </c>
      <c r="D14" s="150">
        <v>5.88</v>
      </c>
      <c r="E14" s="150">
        <v>27.66</v>
      </c>
      <c r="F14" s="150">
        <v>119.03</v>
      </c>
      <c r="G14" s="150">
        <v>75.72</v>
      </c>
      <c r="H14" s="151">
        <v>13672.31</v>
      </c>
      <c r="I14" s="148">
        <v>19250.0</v>
      </c>
      <c r="J14" s="149">
        <v>-1.01</v>
      </c>
      <c r="K14" s="150">
        <v>-0.55</v>
      </c>
      <c r="L14" s="152">
        <v>0.0</v>
      </c>
      <c r="M14" s="150">
        <v>1.15</v>
      </c>
      <c r="N14" s="150">
        <v>1.11</v>
      </c>
      <c r="O14" s="151">
        <v>1782.53</v>
      </c>
      <c r="P14" s="153">
        <v>1.0</v>
      </c>
      <c r="Q14" s="154">
        <v>0.993342</v>
      </c>
    </row>
    <row r="15">
      <c r="A15" s="147" t="s">
        <v>54</v>
      </c>
      <c r="B15" s="148">
        <v>2000.0</v>
      </c>
      <c r="C15" s="149">
        <v>-0.67</v>
      </c>
      <c r="D15" s="150">
        <v>-0.67</v>
      </c>
      <c r="E15" s="150">
        <v>-0.67</v>
      </c>
      <c r="F15" s="150">
        <v>808.15</v>
      </c>
      <c r="G15" s="150">
        <v>0.0</v>
      </c>
      <c r="H15" s="151">
        <v>232484.82</v>
      </c>
      <c r="I15" s="148">
        <v>19202.0</v>
      </c>
      <c r="J15" s="149">
        <v>-0.7</v>
      </c>
      <c r="K15" s="150">
        <v>-0.7</v>
      </c>
      <c r="L15" s="152">
        <v>0.0</v>
      </c>
      <c r="M15" s="150">
        <v>33587.1</v>
      </c>
      <c r="N15" s="150">
        <v>3442.6</v>
      </c>
      <c r="O15" s="151">
        <v>316633.6</v>
      </c>
      <c r="P15" s="153">
        <v>2.0</v>
      </c>
      <c r="Q15" s="154">
        <v>1.4826</v>
      </c>
    </row>
    <row r="16">
      <c r="A16" s="147" t="s">
        <v>267</v>
      </c>
      <c r="B16" s="155">
        <v>2000.0</v>
      </c>
      <c r="C16" s="156">
        <v>-0.97</v>
      </c>
      <c r="D16" s="152">
        <v>-0.31</v>
      </c>
      <c r="E16" s="152">
        <v>0.41</v>
      </c>
      <c r="F16" s="152">
        <v>1.48</v>
      </c>
      <c r="G16" s="152">
        <v>1.9</v>
      </c>
      <c r="H16" s="157">
        <v>59.94</v>
      </c>
      <c r="I16" s="155">
        <v>19250.0</v>
      </c>
      <c r="J16" s="156">
        <v>-1.07</v>
      </c>
      <c r="K16" s="152">
        <v>-0.54</v>
      </c>
      <c r="L16" s="152">
        <v>0.0</v>
      </c>
      <c r="M16" s="152">
        <v>7.9</v>
      </c>
      <c r="N16" s="152">
        <v>1.23</v>
      </c>
      <c r="O16" s="157">
        <v>5660.15</v>
      </c>
      <c r="P16" s="153">
        <v>730.0</v>
      </c>
      <c r="Q16" s="154">
        <v>680.5134</v>
      </c>
    </row>
    <row r="17">
      <c r="A17" s="147" t="s">
        <v>73</v>
      </c>
      <c r="B17" s="148">
        <v>2000.0</v>
      </c>
      <c r="C17" s="149">
        <v>-2.76</v>
      </c>
      <c r="D17" s="150">
        <v>0.06</v>
      </c>
      <c r="E17" s="150">
        <v>0.57</v>
      </c>
      <c r="F17" s="150">
        <v>0.45</v>
      </c>
      <c r="G17" s="150">
        <v>0.98</v>
      </c>
      <c r="H17" s="151">
        <v>2.1</v>
      </c>
      <c r="I17" s="148">
        <v>19250.0</v>
      </c>
      <c r="J17" s="149">
        <v>-3.39</v>
      </c>
      <c r="K17" s="150">
        <v>-0.75</v>
      </c>
      <c r="L17" s="152">
        <v>0.0</v>
      </c>
      <c r="M17" s="150">
        <v>-0.1</v>
      </c>
      <c r="N17" s="150">
        <v>0.62</v>
      </c>
      <c r="O17" s="151">
        <v>2.33</v>
      </c>
      <c r="P17" s="153">
        <v>0.39042</v>
      </c>
      <c r="Q17" s="154">
        <v>0.05174274</v>
      </c>
    </row>
    <row r="18">
      <c r="A18" s="147" t="s">
        <v>67</v>
      </c>
      <c r="B18" s="148">
        <v>1976.0</v>
      </c>
      <c r="C18" s="149">
        <v>-1.84</v>
      </c>
      <c r="D18" s="150">
        <v>1.8</v>
      </c>
      <c r="E18" s="150">
        <v>4.77</v>
      </c>
      <c r="F18" s="150">
        <v>5.63</v>
      </c>
      <c r="G18" s="150">
        <v>8.38</v>
      </c>
      <c r="H18" s="151">
        <v>34.03</v>
      </c>
      <c r="I18" s="148">
        <v>18809.0</v>
      </c>
      <c r="J18" s="149">
        <v>-1.88</v>
      </c>
      <c r="K18" s="150">
        <v>-0.59</v>
      </c>
      <c r="L18" s="152">
        <v>0.0</v>
      </c>
      <c r="M18" s="150">
        <v>0.28</v>
      </c>
      <c r="N18" s="150">
        <v>0.83</v>
      </c>
      <c r="O18" s="151">
        <v>15.05</v>
      </c>
      <c r="P18" s="153">
        <v>5.82</v>
      </c>
      <c r="Q18" s="154">
        <v>3.01</v>
      </c>
    </row>
    <row r="19">
      <c r="A19" s="147" t="s">
        <v>79</v>
      </c>
      <c r="B19" s="148">
        <v>1994.0</v>
      </c>
      <c r="C19" s="149">
        <v>-1.05</v>
      </c>
      <c r="D19" s="150">
        <v>0.5</v>
      </c>
      <c r="E19" s="150">
        <v>0.94</v>
      </c>
      <c r="F19" s="150">
        <v>1.02</v>
      </c>
      <c r="G19" s="150">
        <v>1.44</v>
      </c>
      <c r="H19" s="151">
        <v>7.92</v>
      </c>
      <c r="I19" s="148">
        <v>18665.0</v>
      </c>
      <c r="J19" s="149">
        <v>-1.06</v>
      </c>
      <c r="K19" s="150">
        <v>-0.65</v>
      </c>
      <c r="L19" s="152">
        <v>0.0</v>
      </c>
      <c r="M19" s="150">
        <v>0.09</v>
      </c>
      <c r="N19" s="150">
        <v>0.74</v>
      </c>
      <c r="O19" s="151">
        <v>6.63</v>
      </c>
      <c r="P19" s="153">
        <v>62.05</v>
      </c>
      <c r="Q19" s="154">
        <v>0.58</v>
      </c>
    </row>
    <row r="20">
      <c r="A20" s="147" t="s">
        <v>84</v>
      </c>
      <c r="B20" s="148">
        <v>2000.0</v>
      </c>
      <c r="C20" s="149">
        <v>-6.16</v>
      </c>
      <c r="D20" s="150">
        <v>-1.09</v>
      </c>
      <c r="E20" s="150">
        <v>-0.2</v>
      </c>
      <c r="F20" s="150">
        <v>-0.48</v>
      </c>
      <c r="G20" s="150">
        <v>0.44</v>
      </c>
      <c r="H20" s="151">
        <v>1.56</v>
      </c>
      <c r="I20" s="148">
        <v>19250.0</v>
      </c>
      <c r="J20" s="149">
        <v>-7.61</v>
      </c>
      <c r="K20" s="150">
        <v>-0.82</v>
      </c>
      <c r="L20" s="152">
        <v>0.0</v>
      </c>
      <c r="M20" s="150">
        <v>-0.23</v>
      </c>
      <c r="N20" s="150">
        <v>0.58</v>
      </c>
      <c r="O20" s="151">
        <v>1.62</v>
      </c>
      <c r="P20" s="153">
        <v>-26.7</v>
      </c>
      <c r="Q20" s="154">
        <v>16.45686</v>
      </c>
    </row>
    <row r="21">
      <c r="A21" s="147" t="s">
        <v>90</v>
      </c>
      <c r="B21" s="148">
        <v>2000.0</v>
      </c>
      <c r="C21" s="149">
        <v>-3.17</v>
      </c>
      <c r="D21" s="150">
        <v>-0.78</v>
      </c>
      <c r="E21" s="150">
        <v>-0.17</v>
      </c>
      <c r="F21" s="150">
        <v>-0.14</v>
      </c>
      <c r="G21" s="150">
        <v>0.48</v>
      </c>
      <c r="H21" s="151">
        <v>3.07</v>
      </c>
      <c r="I21" s="148">
        <v>19250.0</v>
      </c>
      <c r="J21" s="149">
        <v>-7.16</v>
      </c>
      <c r="K21" s="150">
        <v>-0.65</v>
      </c>
      <c r="L21" s="152">
        <v>0.0</v>
      </c>
      <c r="M21" s="150">
        <v>0.02</v>
      </c>
      <c r="N21" s="150">
        <v>0.69</v>
      </c>
      <c r="O21" s="151">
        <v>7.23</v>
      </c>
      <c r="P21" s="153">
        <v>-6.25</v>
      </c>
      <c r="Q21" s="154">
        <v>1.005203</v>
      </c>
    </row>
    <row r="22">
      <c r="A22" s="147" t="s">
        <v>97</v>
      </c>
      <c r="B22" s="148">
        <v>1984.0</v>
      </c>
      <c r="C22" s="149">
        <v>-2.99</v>
      </c>
      <c r="D22" s="150">
        <v>-1.13</v>
      </c>
      <c r="E22" s="150">
        <v>-0.5</v>
      </c>
      <c r="F22" s="150">
        <v>-0.4</v>
      </c>
      <c r="G22" s="150">
        <v>0.16</v>
      </c>
      <c r="H22" s="151">
        <v>7.04</v>
      </c>
      <c r="I22" s="148">
        <v>19113.0</v>
      </c>
      <c r="J22" s="149">
        <v>-3.03</v>
      </c>
      <c r="K22" s="150">
        <v>-0.57</v>
      </c>
      <c r="L22" s="152">
        <v>0.0</v>
      </c>
      <c r="M22" s="150">
        <v>0.77</v>
      </c>
      <c r="N22" s="150">
        <v>0.89</v>
      </c>
      <c r="O22" s="151">
        <v>106.23</v>
      </c>
      <c r="P22" s="153">
        <v>0.236111</v>
      </c>
      <c r="Q22" s="154">
        <v>0.07626791</v>
      </c>
    </row>
    <row r="23">
      <c r="A23" s="147" t="s">
        <v>103</v>
      </c>
      <c r="B23" s="158">
        <v>1984.0</v>
      </c>
      <c r="C23" s="159">
        <v>-0.7</v>
      </c>
      <c r="D23" s="150">
        <v>-0.67</v>
      </c>
      <c r="E23" s="150">
        <v>-0.58</v>
      </c>
      <c r="F23" s="150">
        <v>3.56</v>
      </c>
      <c r="G23" s="150">
        <v>0.24</v>
      </c>
      <c r="H23" s="151">
        <v>159.4</v>
      </c>
      <c r="I23" s="148">
        <v>19113.0</v>
      </c>
      <c r="J23" s="149">
        <v>-0.71</v>
      </c>
      <c r="K23" s="150">
        <v>-0.6</v>
      </c>
      <c r="L23" s="152">
        <v>0.0</v>
      </c>
      <c r="M23" s="150">
        <v>8.31</v>
      </c>
      <c r="N23" s="150">
        <v>7.21</v>
      </c>
      <c r="O23" s="151">
        <v>534.6</v>
      </c>
      <c r="P23" s="153">
        <v>3.46E-4</v>
      </c>
      <c r="Q23" s="160">
        <v>4.8778E-4</v>
      </c>
    </row>
    <row r="24">
      <c r="A24" s="161" t="s">
        <v>268</v>
      </c>
      <c r="B24" s="162">
        <v>2000.0</v>
      </c>
      <c r="C24" s="163">
        <v>0.0</v>
      </c>
      <c r="D24" s="163">
        <v>0.0</v>
      </c>
      <c r="E24" s="163">
        <v>3.701</v>
      </c>
      <c r="F24" s="163">
        <v>5.335</v>
      </c>
      <c r="G24" s="163">
        <v>8.686</v>
      </c>
      <c r="H24" s="164">
        <v>29.705</v>
      </c>
      <c r="I24" s="165">
        <v>19250.0</v>
      </c>
      <c r="J24" s="166">
        <v>0.0</v>
      </c>
      <c r="K24" s="166">
        <v>0.0</v>
      </c>
      <c r="L24" s="167">
        <v>0.0</v>
      </c>
      <c r="M24" s="163">
        <v>0.7979</v>
      </c>
      <c r="N24" s="163">
        <v>0.0</v>
      </c>
      <c r="O24" s="164">
        <v>29.7049</v>
      </c>
      <c r="P24" s="168">
        <v>0.0</v>
      </c>
      <c r="Q24" s="169">
        <v>1.861676</v>
      </c>
    </row>
    <row r="25">
      <c r="A25" s="170" t="s">
        <v>269</v>
      </c>
      <c r="B25" s="171">
        <v>2000.0</v>
      </c>
      <c r="C25" s="172">
        <v>0.0</v>
      </c>
      <c r="D25" s="172">
        <v>0.0</v>
      </c>
      <c r="E25" s="172">
        <v>0.0</v>
      </c>
      <c r="F25" s="172">
        <v>4.866</v>
      </c>
      <c r="G25" s="172">
        <v>9.997</v>
      </c>
      <c r="H25" s="173">
        <v>29.686</v>
      </c>
      <c r="I25" s="174">
        <v>19950.0</v>
      </c>
      <c r="J25" s="172">
        <v>0.0</v>
      </c>
      <c r="K25" s="172">
        <v>0.0</v>
      </c>
      <c r="L25" s="175">
        <v>0.0</v>
      </c>
      <c r="M25" s="172">
        <v>0.7979</v>
      </c>
      <c r="N25" s="172">
        <v>0.0</v>
      </c>
      <c r="O25" s="173">
        <v>37.3332</v>
      </c>
      <c r="P25" s="176">
        <v>0.0</v>
      </c>
      <c r="Q25" s="177">
        <v>0.4552763</v>
      </c>
    </row>
    <row r="26">
      <c r="A26" s="170" t="s">
        <v>270</v>
      </c>
      <c r="B26" s="171">
        <v>2000.0</v>
      </c>
      <c r="C26" s="178">
        <v>0.0</v>
      </c>
      <c r="D26" s="178">
        <v>0.0</v>
      </c>
      <c r="E26" s="178">
        <v>0.3854</v>
      </c>
      <c r="F26" s="178">
        <v>1.7277</v>
      </c>
      <c r="G26" s="178">
        <v>2.4632</v>
      </c>
      <c r="H26" s="179">
        <v>16.7489</v>
      </c>
      <c r="I26" s="180">
        <v>19250.0</v>
      </c>
      <c r="J26" s="178">
        <v>0.0</v>
      </c>
      <c r="K26" s="178">
        <v>0.0</v>
      </c>
      <c r="L26" s="181">
        <v>0.0</v>
      </c>
      <c r="M26" s="178">
        <v>0.7979</v>
      </c>
      <c r="N26" s="178">
        <v>0.5052</v>
      </c>
      <c r="O26" s="179">
        <v>16.546</v>
      </c>
      <c r="P26" s="176">
        <v>0.0</v>
      </c>
      <c r="Q26" s="177">
        <v>9.998984</v>
      </c>
    </row>
    <row r="27">
      <c r="A27" s="170" t="s">
        <v>111</v>
      </c>
      <c r="B27" s="171">
        <v>2000.0</v>
      </c>
      <c r="C27" s="178">
        <v>-0.6745</v>
      </c>
      <c r="D27" s="178">
        <v>-0.5412</v>
      </c>
      <c r="E27" s="178">
        <v>1.8297</v>
      </c>
      <c r="F27" s="178">
        <v>6.6293</v>
      </c>
      <c r="G27" s="178">
        <v>10.0109</v>
      </c>
      <c r="H27" s="179">
        <v>65.94</v>
      </c>
      <c r="I27" s="180">
        <v>19250.0</v>
      </c>
      <c r="J27" s="178">
        <v>-0.6745</v>
      </c>
      <c r="K27" s="178">
        <v>-0.6745</v>
      </c>
      <c r="L27" s="181">
        <v>0.0</v>
      </c>
      <c r="M27" s="178">
        <v>6.9325</v>
      </c>
      <c r="N27" s="178">
        <v>8.885</v>
      </c>
      <c r="O27" s="179">
        <v>788.2278</v>
      </c>
      <c r="P27" s="176">
        <v>0.4980325</v>
      </c>
      <c r="Q27" s="177">
        <v>0.738383</v>
      </c>
    </row>
    <row r="28">
      <c r="A28" s="182" t="s">
        <v>115</v>
      </c>
      <c r="B28" s="183">
        <v>2000.0</v>
      </c>
      <c r="C28" s="184">
        <v>-1.33</v>
      </c>
      <c r="D28" s="185">
        <v>-0.46</v>
      </c>
      <c r="E28" s="185">
        <v>0.45</v>
      </c>
      <c r="F28" s="185">
        <v>0.07</v>
      </c>
      <c r="G28" s="185">
        <v>0.66</v>
      </c>
      <c r="H28" s="186">
        <v>0.89</v>
      </c>
      <c r="I28" s="148">
        <v>19250.0</v>
      </c>
      <c r="J28" s="184">
        <v>-1.33</v>
      </c>
      <c r="K28" s="185">
        <v>-1.33</v>
      </c>
      <c r="L28" s="187">
        <v>0.0</v>
      </c>
      <c r="M28" s="185">
        <v>-0.32</v>
      </c>
      <c r="N28" s="185">
        <v>0.49</v>
      </c>
      <c r="O28" s="186">
        <v>0.89</v>
      </c>
      <c r="P28" s="188">
        <v>56.20455</v>
      </c>
      <c r="Q28" s="189">
        <v>42.21466</v>
      </c>
    </row>
    <row r="29">
      <c r="A29" s="132"/>
      <c r="B29" s="133"/>
      <c r="C29" s="134" t="s">
        <v>271</v>
      </c>
      <c r="D29" s="135"/>
      <c r="E29" s="135"/>
      <c r="F29" s="135"/>
      <c r="G29" s="135"/>
      <c r="H29" s="136"/>
      <c r="I29" s="137"/>
      <c r="J29" s="134" t="s">
        <v>272</v>
      </c>
      <c r="K29" s="135"/>
      <c r="L29" s="135"/>
      <c r="M29" s="135"/>
      <c r="N29" s="135"/>
      <c r="O29" s="136"/>
      <c r="P29" s="190" t="s">
        <v>273</v>
      </c>
      <c r="Q29" s="139"/>
    </row>
    <row r="30">
      <c r="A30" s="140" t="s">
        <v>0</v>
      </c>
      <c r="B30" s="141" t="s">
        <v>254</v>
      </c>
      <c r="C30" s="142" t="s">
        <v>255</v>
      </c>
      <c r="D30" s="143" t="s">
        <v>256</v>
      </c>
      <c r="E30" s="143" t="s">
        <v>257</v>
      </c>
      <c r="F30" s="143" t="s">
        <v>258</v>
      </c>
      <c r="G30" s="143" t="s">
        <v>259</v>
      </c>
      <c r="H30" s="144" t="s">
        <v>260</v>
      </c>
      <c r="I30" s="141" t="s">
        <v>254</v>
      </c>
      <c r="J30" s="142" t="s">
        <v>255</v>
      </c>
      <c r="K30" s="143" t="s">
        <v>256</v>
      </c>
      <c r="L30" s="143" t="s">
        <v>257</v>
      </c>
      <c r="M30" s="143" t="s">
        <v>258</v>
      </c>
      <c r="N30" s="143" t="s">
        <v>259</v>
      </c>
      <c r="O30" s="191" t="s">
        <v>260</v>
      </c>
      <c r="P30" s="192" t="s">
        <v>257</v>
      </c>
      <c r="Q30" s="193" t="s">
        <v>261</v>
      </c>
    </row>
    <row r="31">
      <c r="A31" s="147" t="s">
        <v>7</v>
      </c>
      <c r="B31" s="148">
        <v>1000.0</v>
      </c>
      <c r="C31" s="149">
        <v>-1.35</v>
      </c>
      <c r="D31" s="150">
        <v>-0.22</v>
      </c>
      <c r="E31" s="150">
        <v>0.37</v>
      </c>
      <c r="F31" s="150">
        <v>0.34</v>
      </c>
      <c r="G31" s="150">
        <v>0.9</v>
      </c>
      <c r="H31" s="151">
        <v>3.0</v>
      </c>
      <c r="I31" s="148">
        <v>9835.0</v>
      </c>
      <c r="J31" s="149">
        <v>-3.07</v>
      </c>
      <c r="K31" s="150">
        <v>-0.6</v>
      </c>
      <c r="L31" s="150">
        <v>0.0</v>
      </c>
      <c r="M31" s="150">
        <v>0.13</v>
      </c>
      <c r="N31" s="150">
        <v>0.75</v>
      </c>
      <c r="O31" s="194">
        <v>3.9</v>
      </c>
      <c r="P31" s="168">
        <v>45.0</v>
      </c>
      <c r="Q31" s="195">
        <v>13.3434</v>
      </c>
    </row>
    <row r="32">
      <c r="A32" s="147" t="s">
        <v>262</v>
      </c>
      <c r="B32" s="148">
        <v>1000.0</v>
      </c>
      <c r="C32" s="149">
        <v>-2.54</v>
      </c>
      <c r="D32" s="150">
        <v>-0.66</v>
      </c>
      <c r="E32" s="150">
        <v>0.23</v>
      </c>
      <c r="F32" s="150">
        <v>0.16</v>
      </c>
      <c r="G32" s="150">
        <v>1.07</v>
      </c>
      <c r="H32" s="151">
        <v>2.17</v>
      </c>
      <c r="I32" s="148">
        <v>9835.0</v>
      </c>
      <c r="J32" s="149">
        <v>-2.99</v>
      </c>
      <c r="K32" s="150">
        <v>-0.69</v>
      </c>
      <c r="L32" s="150">
        <v>0.0</v>
      </c>
      <c r="M32" s="150">
        <v>-0.01</v>
      </c>
      <c r="N32" s="150">
        <v>0.66</v>
      </c>
      <c r="O32" s="194">
        <v>3.7</v>
      </c>
      <c r="P32" s="168">
        <v>-1.27</v>
      </c>
      <c r="Q32" s="195">
        <v>0.859908</v>
      </c>
    </row>
    <row r="33">
      <c r="A33" s="147" t="s">
        <v>263</v>
      </c>
      <c r="B33" s="148">
        <v>1000.0</v>
      </c>
      <c r="C33" s="149">
        <v>-6.05</v>
      </c>
      <c r="D33" s="150">
        <v>-0.63</v>
      </c>
      <c r="E33" s="150">
        <v>0.12</v>
      </c>
      <c r="F33" s="150">
        <v>0.05</v>
      </c>
      <c r="G33" s="150">
        <v>0.93</v>
      </c>
      <c r="H33" s="151">
        <v>2.49</v>
      </c>
      <c r="I33" s="148">
        <v>9835.0</v>
      </c>
      <c r="J33" s="149">
        <v>-7.05</v>
      </c>
      <c r="K33" s="150">
        <v>-0.74</v>
      </c>
      <c r="L33" s="150">
        <v>0.0</v>
      </c>
      <c r="M33" s="150">
        <v>-0.16</v>
      </c>
      <c r="N33" s="150">
        <v>0.63</v>
      </c>
      <c r="O33" s="194">
        <v>5.91</v>
      </c>
      <c r="P33" s="168">
        <v>-0.03</v>
      </c>
      <c r="Q33" s="195">
        <v>0.429954</v>
      </c>
    </row>
    <row r="34">
      <c r="A34" s="147" t="s">
        <v>264</v>
      </c>
      <c r="B34" s="148">
        <v>1000.0</v>
      </c>
      <c r="C34" s="149">
        <v>-4.58</v>
      </c>
      <c r="D34" s="150">
        <v>-0.29</v>
      </c>
      <c r="E34" s="150">
        <v>0.39</v>
      </c>
      <c r="F34" s="150">
        <v>0.22</v>
      </c>
      <c r="G34" s="150">
        <v>0.8</v>
      </c>
      <c r="H34" s="151">
        <v>2.37</v>
      </c>
      <c r="I34" s="148">
        <v>9835.0</v>
      </c>
      <c r="J34" s="149">
        <v>-5.72</v>
      </c>
      <c r="K34" s="150">
        <v>-0.72</v>
      </c>
      <c r="L34" s="150">
        <v>0.0</v>
      </c>
      <c r="M34" s="150">
        <v>-0.13</v>
      </c>
      <c r="N34" s="150">
        <v>0.63</v>
      </c>
      <c r="O34" s="194">
        <v>3.52</v>
      </c>
      <c r="P34" s="168">
        <v>-0.22</v>
      </c>
      <c r="Q34" s="195">
        <v>0.489258</v>
      </c>
    </row>
    <row r="35">
      <c r="A35" s="147" t="s">
        <v>265</v>
      </c>
      <c r="B35" s="148">
        <v>1000.0</v>
      </c>
      <c r="C35" s="149">
        <v>-5.24</v>
      </c>
      <c r="D35" s="150">
        <v>-0.85</v>
      </c>
      <c r="E35" s="150">
        <v>-0.04</v>
      </c>
      <c r="F35" s="150">
        <v>-0.24</v>
      </c>
      <c r="G35" s="150">
        <v>0.58</v>
      </c>
      <c r="H35" s="151">
        <v>2.54</v>
      </c>
      <c r="I35" s="148">
        <v>9835.0</v>
      </c>
      <c r="J35" s="149">
        <v>-5.76</v>
      </c>
      <c r="K35" s="150">
        <v>-0.81</v>
      </c>
      <c r="L35" s="150">
        <v>0.0</v>
      </c>
      <c r="M35" s="150">
        <v>-0.19</v>
      </c>
      <c r="N35" s="150">
        <v>0.6</v>
      </c>
      <c r="O35" s="194">
        <v>4.53</v>
      </c>
      <c r="P35" s="168">
        <v>-0.46</v>
      </c>
      <c r="Q35" s="195">
        <v>0.51891</v>
      </c>
    </row>
    <row r="36">
      <c r="A36" s="147" t="s">
        <v>18</v>
      </c>
      <c r="B36" s="148">
        <v>999.0</v>
      </c>
      <c r="C36" s="149">
        <v>0.0</v>
      </c>
      <c r="D36" s="150">
        <v>0.0</v>
      </c>
      <c r="E36" s="150">
        <v>0.0</v>
      </c>
      <c r="F36" s="150">
        <v>0.1</v>
      </c>
      <c r="G36" s="150">
        <v>0.0</v>
      </c>
      <c r="H36" s="151">
        <v>12.14</v>
      </c>
      <c r="I36" s="148">
        <v>9810.0</v>
      </c>
      <c r="J36" s="149">
        <v>0.0</v>
      </c>
      <c r="K36" s="150">
        <v>0.0</v>
      </c>
      <c r="L36" s="150">
        <v>0.0</v>
      </c>
      <c r="M36" s="150">
        <v>0.8</v>
      </c>
      <c r="N36" s="150">
        <v>0.0</v>
      </c>
      <c r="O36" s="194">
        <v>105.17</v>
      </c>
      <c r="P36" s="168">
        <v>0.0</v>
      </c>
      <c r="Q36" s="195">
        <v>0.06655771</v>
      </c>
    </row>
    <row r="37">
      <c r="A37" s="147" t="s">
        <v>24</v>
      </c>
      <c r="B37" s="148">
        <v>997.0</v>
      </c>
      <c r="C37" s="149">
        <v>-0.96</v>
      </c>
      <c r="D37" s="150">
        <v>-0.2</v>
      </c>
      <c r="E37" s="150">
        <v>1.23</v>
      </c>
      <c r="F37" s="150">
        <v>1.36</v>
      </c>
      <c r="G37" s="150">
        <v>3.13</v>
      </c>
      <c r="H37" s="151">
        <v>3.34</v>
      </c>
      <c r="I37" s="148">
        <v>9764.0</v>
      </c>
      <c r="J37" s="149">
        <v>-0.96</v>
      </c>
      <c r="K37" s="150">
        <v>-0.68</v>
      </c>
      <c r="L37" s="150">
        <v>0.0</v>
      </c>
      <c r="M37" s="150">
        <v>0.22</v>
      </c>
      <c r="N37" s="150">
        <v>0.6</v>
      </c>
      <c r="O37" s="194">
        <v>3.34</v>
      </c>
      <c r="P37" s="168">
        <v>1.985</v>
      </c>
      <c r="Q37" s="195">
        <v>2.074157</v>
      </c>
    </row>
    <row r="38">
      <c r="A38" s="147" t="s">
        <v>30</v>
      </c>
      <c r="B38" s="148">
        <v>994.0</v>
      </c>
      <c r="C38" s="149">
        <v>-2.71</v>
      </c>
      <c r="D38" s="150">
        <v>0.01</v>
      </c>
      <c r="E38" s="150">
        <v>0.73</v>
      </c>
      <c r="F38" s="150">
        <v>1.29</v>
      </c>
      <c r="G38" s="150">
        <v>2.37</v>
      </c>
      <c r="H38" s="151">
        <v>5.88</v>
      </c>
      <c r="I38" s="148">
        <v>9703.0</v>
      </c>
      <c r="J38" s="149">
        <v>-1.14</v>
      </c>
      <c r="K38" s="150">
        <v>-0.7</v>
      </c>
      <c r="L38" s="150">
        <v>0.0</v>
      </c>
      <c r="M38" s="150">
        <v>0.08</v>
      </c>
      <c r="N38" s="150">
        <v>0.65</v>
      </c>
      <c r="O38" s="194">
        <v>5.6</v>
      </c>
      <c r="P38" s="168">
        <v>1.672</v>
      </c>
      <c r="Q38" s="195">
        <v>1.415883</v>
      </c>
    </row>
    <row r="39">
      <c r="A39" s="147" t="s">
        <v>35</v>
      </c>
      <c r="B39" s="148">
        <v>922.0</v>
      </c>
      <c r="C39" s="149">
        <v>-1.04</v>
      </c>
      <c r="D39" s="150">
        <v>0.24</v>
      </c>
      <c r="E39" s="150">
        <v>0.95</v>
      </c>
      <c r="F39" s="150">
        <v>0.83</v>
      </c>
      <c r="G39" s="150">
        <v>1.37</v>
      </c>
      <c r="H39" s="151">
        <v>3.27</v>
      </c>
      <c r="I39" s="148">
        <v>8797.0</v>
      </c>
      <c r="J39" s="149">
        <v>-1.08</v>
      </c>
      <c r="K39" s="150">
        <v>-0.65</v>
      </c>
      <c r="L39" s="150">
        <v>0.0</v>
      </c>
      <c r="M39" s="150">
        <v>0.12</v>
      </c>
      <c r="N39" s="150">
        <v>0.71</v>
      </c>
      <c r="O39" s="194">
        <v>3.06</v>
      </c>
      <c r="P39" s="168">
        <v>1.72</v>
      </c>
      <c r="Q39" s="195">
        <v>1.586382</v>
      </c>
    </row>
    <row r="40">
      <c r="A40" s="147" t="s">
        <v>40</v>
      </c>
      <c r="B40" s="148">
        <v>636.0</v>
      </c>
      <c r="C40" s="149">
        <v>-0.89</v>
      </c>
      <c r="D40" s="150">
        <v>-0.41</v>
      </c>
      <c r="E40" s="150">
        <v>0.53</v>
      </c>
      <c r="F40" s="150">
        <v>0.67</v>
      </c>
      <c r="G40" s="150">
        <v>1.34</v>
      </c>
      <c r="H40" s="151">
        <v>3.56</v>
      </c>
      <c r="I40" s="148">
        <v>6552.0</v>
      </c>
      <c r="J40" s="149">
        <v>-1.42</v>
      </c>
      <c r="K40" s="150">
        <v>-0.66</v>
      </c>
      <c r="L40" s="150">
        <v>0.0</v>
      </c>
      <c r="M40" s="150">
        <v>0.14</v>
      </c>
      <c r="N40" s="150">
        <v>0.79</v>
      </c>
      <c r="O40" s="194">
        <v>3.42</v>
      </c>
      <c r="P40" s="168">
        <v>1.05</v>
      </c>
      <c r="Q40" s="195">
        <v>1.139378</v>
      </c>
    </row>
    <row r="41">
      <c r="A41" s="147" t="s">
        <v>44</v>
      </c>
      <c r="B41" s="148">
        <v>1000.0</v>
      </c>
      <c r="C41" s="149">
        <v>-1.2</v>
      </c>
      <c r="D41" s="150">
        <v>11.3</v>
      </c>
      <c r="E41" s="150">
        <v>77.6</v>
      </c>
      <c r="F41" s="150">
        <v>6960.1</v>
      </c>
      <c r="G41" s="150">
        <v>1080.5</v>
      </c>
      <c r="H41" s="151">
        <v>529696.4</v>
      </c>
      <c r="I41" s="148">
        <v>9835.0</v>
      </c>
      <c r="J41" s="149">
        <v>-1.23</v>
      </c>
      <c r="K41" s="150">
        <v>-0.59</v>
      </c>
      <c r="L41" s="150">
        <v>0.0</v>
      </c>
      <c r="M41" s="150">
        <v>1.26</v>
      </c>
      <c r="N41" s="150">
        <v>1.05</v>
      </c>
      <c r="O41" s="194">
        <v>677.13</v>
      </c>
      <c r="P41" s="168">
        <v>1.37</v>
      </c>
      <c r="Q41" s="195">
        <v>1.11195</v>
      </c>
    </row>
    <row r="42">
      <c r="A42" s="147" t="s">
        <v>49</v>
      </c>
      <c r="B42" s="148">
        <v>1000.0</v>
      </c>
      <c r="C42" s="149">
        <v>-1.0</v>
      </c>
      <c r="D42" s="150">
        <v>12.3</v>
      </c>
      <c r="E42" s="150">
        <v>146.9</v>
      </c>
      <c r="F42" s="150">
        <v>8866.2</v>
      </c>
      <c r="G42" s="150">
        <v>1611.0</v>
      </c>
      <c r="H42" s="151">
        <v>1260085.4</v>
      </c>
      <c r="I42" s="148">
        <v>9835.0</v>
      </c>
      <c r="J42" s="149">
        <v>-0.97</v>
      </c>
      <c r="K42" s="150">
        <v>-0.57</v>
      </c>
      <c r="L42" s="150">
        <v>0.0</v>
      </c>
      <c r="M42" s="150">
        <v>1.64</v>
      </c>
      <c r="N42" s="150">
        <v>1.26</v>
      </c>
      <c r="O42" s="194">
        <v>1606.85</v>
      </c>
      <c r="P42" s="168">
        <v>1.37</v>
      </c>
      <c r="Q42" s="195">
        <v>1.40847</v>
      </c>
    </row>
    <row r="43">
      <c r="A43" s="147" t="s">
        <v>54</v>
      </c>
      <c r="B43" s="148">
        <v>1000.0</v>
      </c>
      <c r="C43" s="149">
        <v>-0.67</v>
      </c>
      <c r="D43" s="150">
        <v>-0.67</v>
      </c>
      <c r="E43" s="150">
        <v>1.35</v>
      </c>
      <c r="F43" s="150">
        <v>53.85</v>
      </c>
      <c r="G43" s="150">
        <v>15.51</v>
      </c>
      <c r="H43" s="151">
        <v>6275.46</v>
      </c>
      <c r="I43" s="148">
        <v>9803.0</v>
      </c>
      <c r="J43" s="149">
        <v>-0.67</v>
      </c>
      <c r="K43" s="150">
        <v>-0.67</v>
      </c>
      <c r="L43" s="150">
        <v>0.0</v>
      </c>
      <c r="M43" s="150">
        <v>23040.58</v>
      </c>
      <c r="N43" s="150">
        <v>402.0</v>
      </c>
      <c r="O43" s="194">
        <v>263418.32</v>
      </c>
      <c r="P43" s="168">
        <v>2.0</v>
      </c>
      <c r="Q43" s="195">
        <v>1.4826</v>
      </c>
    </row>
    <row r="44">
      <c r="A44" s="147" t="s">
        <v>267</v>
      </c>
      <c r="B44" s="148">
        <v>1000.0</v>
      </c>
      <c r="C44" s="149">
        <v>-1.0</v>
      </c>
      <c r="D44" s="150">
        <v>-0.25</v>
      </c>
      <c r="E44" s="150">
        <v>0.56</v>
      </c>
      <c r="F44" s="150">
        <v>5.63</v>
      </c>
      <c r="G44" s="150">
        <v>1.94</v>
      </c>
      <c r="H44" s="151">
        <v>95.07</v>
      </c>
      <c r="I44" s="148">
        <v>9835.0</v>
      </c>
      <c r="J44" s="149">
        <v>-1.02</v>
      </c>
      <c r="K44" s="150">
        <v>-0.53</v>
      </c>
      <c r="L44" s="150">
        <v>0.0</v>
      </c>
      <c r="M44" s="150">
        <v>10.01</v>
      </c>
      <c r="N44" s="150">
        <v>1.22</v>
      </c>
      <c r="O44" s="194">
        <v>4851.94</v>
      </c>
      <c r="P44" s="168">
        <v>821.0</v>
      </c>
      <c r="Q44" s="195">
        <v>805.0518</v>
      </c>
    </row>
    <row r="45">
      <c r="A45" s="147" t="s">
        <v>73</v>
      </c>
      <c r="B45" s="148">
        <v>1000.0</v>
      </c>
      <c r="C45" s="149">
        <v>-3.12</v>
      </c>
      <c r="D45" s="150">
        <v>-0.5</v>
      </c>
      <c r="E45" s="150">
        <v>0.2</v>
      </c>
      <c r="F45" s="150">
        <v>0.1</v>
      </c>
      <c r="G45" s="150">
        <v>0.76</v>
      </c>
      <c r="H45" s="151">
        <v>1.97</v>
      </c>
      <c r="I45" s="148">
        <v>9835.0</v>
      </c>
      <c r="J45" s="149">
        <v>-3.49</v>
      </c>
      <c r="K45" s="150">
        <v>-0.74</v>
      </c>
      <c r="L45" s="150">
        <v>0.0</v>
      </c>
      <c r="M45" s="150">
        <v>-0.1</v>
      </c>
      <c r="N45" s="150">
        <v>0.62</v>
      </c>
      <c r="O45" s="194">
        <v>2.32</v>
      </c>
      <c r="P45" s="168">
        <v>0.38823</v>
      </c>
      <c r="Q45" s="195">
        <v>0.05227648</v>
      </c>
    </row>
    <row r="46">
      <c r="A46" s="147" t="s">
        <v>67</v>
      </c>
      <c r="B46" s="148">
        <v>980.0</v>
      </c>
      <c r="C46" s="149">
        <v>-1.76</v>
      </c>
      <c r="D46" s="150">
        <v>-0.83</v>
      </c>
      <c r="E46" s="150">
        <v>-0.24</v>
      </c>
      <c r="F46" s="150">
        <v>-0.06</v>
      </c>
      <c r="G46" s="150">
        <v>0.44</v>
      </c>
      <c r="H46" s="151">
        <v>12.23</v>
      </c>
      <c r="I46" s="148">
        <v>9534.0</v>
      </c>
      <c r="J46" s="149">
        <v>-1.72</v>
      </c>
      <c r="K46" s="150">
        <v>-0.58</v>
      </c>
      <c r="L46" s="150">
        <v>0.0</v>
      </c>
      <c r="M46" s="150">
        <v>0.26</v>
      </c>
      <c r="N46" s="150">
        <v>0.82</v>
      </c>
      <c r="O46" s="194">
        <v>7.95</v>
      </c>
      <c r="P46" s="168">
        <v>5.49</v>
      </c>
      <c r="Q46" s="195">
        <v>3.08</v>
      </c>
    </row>
    <row r="47">
      <c r="A47" s="147" t="s">
        <v>79</v>
      </c>
      <c r="B47" s="148">
        <v>981.0</v>
      </c>
      <c r="C47" s="149">
        <v>-1.08</v>
      </c>
      <c r="D47" s="150">
        <v>-0.35</v>
      </c>
      <c r="E47" s="150">
        <v>0.62</v>
      </c>
      <c r="F47" s="150">
        <v>0.6</v>
      </c>
      <c r="G47" s="150">
        <v>1.23</v>
      </c>
      <c r="H47" s="151">
        <v>4.6</v>
      </c>
      <c r="I47" s="148">
        <v>9529.0</v>
      </c>
      <c r="J47" s="149">
        <v>-1.1</v>
      </c>
      <c r="K47" s="150">
        <v>-0.64</v>
      </c>
      <c r="L47" s="150">
        <v>0.0</v>
      </c>
      <c r="M47" s="150">
        <v>0.1</v>
      </c>
      <c r="N47" s="150">
        <v>0.74</v>
      </c>
      <c r="O47" s="194">
        <v>6.81</v>
      </c>
      <c r="P47" s="168">
        <v>56.83</v>
      </c>
      <c r="Q47" s="195">
        <v>0.51</v>
      </c>
    </row>
    <row r="48">
      <c r="A48" s="147" t="s">
        <v>84</v>
      </c>
      <c r="B48" s="148">
        <v>1000.0</v>
      </c>
      <c r="C48" s="149">
        <v>-6.06</v>
      </c>
      <c r="D48" s="150">
        <v>-2.28</v>
      </c>
      <c r="E48" s="150">
        <v>-1.18</v>
      </c>
      <c r="F48" s="150">
        <v>-1.41</v>
      </c>
      <c r="G48" s="150">
        <v>-0.49</v>
      </c>
      <c r="H48" s="151">
        <v>1.19</v>
      </c>
      <c r="I48" s="148">
        <v>9835.0</v>
      </c>
      <c r="J48" s="149">
        <v>-8.07</v>
      </c>
      <c r="K48" s="150">
        <v>-0.81</v>
      </c>
      <c r="L48" s="150">
        <v>0.0</v>
      </c>
      <c r="M48" s="150">
        <v>-0.23</v>
      </c>
      <c r="N48" s="150">
        <v>0.6</v>
      </c>
      <c r="O48" s="194">
        <v>1.71</v>
      </c>
      <c r="P48" s="168">
        <v>-18.0</v>
      </c>
      <c r="Q48" s="195">
        <v>10.52646</v>
      </c>
    </row>
    <row r="49">
      <c r="A49" s="147" t="s">
        <v>90</v>
      </c>
      <c r="B49" s="148">
        <v>1000.0</v>
      </c>
      <c r="C49" s="149">
        <v>-2.51</v>
      </c>
      <c r="D49" s="150">
        <v>0.16</v>
      </c>
      <c r="E49" s="152">
        <v>0.74</v>
      </c>
      <c r="F49" s="152">
        <v>0.92</v>
      </c>
      <c r="G49" s="152">
        <v>1.52</v>
      </c>
      <c r="H49" s="157">
        <v>4.89</v>
      </c>
      <c r="I49" s="155">
        <v>9835.0</v>
      </c>
      <c r="J49" s="156">
        <v>-6.28</v>
      </c>
      <c r="K49" s="152">
        <v>-0.67</v>
      </c>
      <c r="L49" s="152">
        <v>0.0</v>
      </c>
      <c r="M49" s="152">
        <v>0.0</v>
      </c>
      <c r="N49" s="152">
        <v>0.67</v>
      </c>
      <c r="O49" s="196">
        <v>5.18</v>
      </c>
      <c r="P49" s="197">
        <v>-5.93</v>
      </c>
      <c r="Q49" s="198">
        <v>1.039303</v>
      </c>
    </row>
    <row r="50">
      <c r="A50" s="147" t="s">
        <v>97</v>
      </c>
      <c r="B50" s="148">
        <v>989.0</v>
      </c>
      <c r="C50" s="149">
        <v>-2.37</v>
      </c>
      <c r="D50" s="150">
        <v>-0.44</v>
      </c>
      <c r="E50" s="150">
        <v>0.28</v>
      </c>
      <c r="F50" s="150">
        <v>2.07</v>
      </c>
      <c r="G50" s="150">
        <v>2.09</v>
      </c>
      <c r="H50" s="151">
        <v>26.31</v>
      </c>
      <c r="I50" s="148">
        <v>9687.0</v>
      </c>
      <c r="J50" s="149">
        <v>-2.51</v>
      </c>
      <c r="K50" s="150">
        <v>-0.55</v>
      </c>
      <c r="L50" s="150">
        <v>0.0</v>
      </c>
      <c r="M50" s="150">
        <v>0.69</v>
      </c>
      <c r="N50" s="150">
        <v>0.95</v>
      </c>
      <c r="O50" s="194">
        <v>87.94</v>
      </c>
      <c r="P50" s="168">
        <v>0.246913</v>
      </c>
      <c r="Q50" s="195">
        <v>0.09473369</v>
      </c>
    </row>
    <row r="51">
      <c r="A51" s="147" t="s">
        <v>103</v>
      </c>
      <c r="B51" s="148">
        <v>989.0</v>
      </c>
      <c r="C51" s="149">
        <v>-0.73</v>
      </c>
      <c r="D51" s="150">
        <v>-0.61</v>
      </c>
      <c r="E51" s="150">
        <v>-0.19</v>
      </c>
      <c r="F51" s="150">
        <v>8.69</v>
      </c>
      <c r="G51" s="150">
        <v>3.29</v>
      </c>
      <c r="H51" s="151">
        <v>277.32</v>
      </c>
      <c r="I51" s="148">
        <v>9687.0</v>
      </c>
      <c r="J51" s="149">
        <v>-0.73</v>
      </c>
      <c r="K51" s="150">
        <v>-0.59</v>
      </c>
      <c r="L51" s="150">
        <v>0.0</v>
      </c>
      <c r="M51" s="150">
        <v>15.08</v>
      </c>
      <c r="N51" s="150">
        <v>8.15</v>
      </c>
      <c r="O51" s="194">
        <v>673.93</v>
      </c>
      <c r="P51" s="168">
        <v>1.89E-4</v>
      </c>
      <c r="Q51" s="199">
        <v>2.5797E-4</v>
      </c>
    </row>
    <row r="52">
      <c r="A52" s="161" t="s">
        <v>268</v>
      </c>
      <c r="B52" s="162">
        <v>1000.0</v>
      </c>
      <c r="C52" s="163">
        <v>0.0</v>
      </c>
      <c r="D52" s="163">
        <v>0.0</v>
      </c>
      <c r="E52" s="163">
        <v>0.0</v>
      </c>
      <c r="F52" s="163">
        <v>3.971</v>
      </c>
      <c r="G52" s="163">
        <v>4.774</v>
      </c>
      <c r="H52" s="164">
        <v>30.614</v>
      </c>
      <c r="I52" s="200">
        <v>9833.0</v>
      </c>
      <c r="J52" s="163">
        <v>0.0</v>
      </c>
      <c r="K52" s="163">
        <v>0.0</v>
      </c>
      <c r="L52" s="163">
        <v>0.0</v>
      </c>
      <c r="M52" s="163">
        <v>0.7979</v>
      </c>
      <c r="N52" s="163">
        <v>0.0</v>
      </c>
      <c r="O52" s="164">
        <v>28.1404</v>
      </c>
      <c r="P52" s="201">
        <v>0.0</v>
      </c>
      <c r="Q52" s="202">
        <v>2.22739</v>
      </c>
    </row>
    <row r="53">
      <c r="A53" s="170" t="s">
        <v>269</v>
      </c>
      <c r="B53" s="171">
        <v>1000.0</v>
      </c>
      <c r="C53" s="178">
        <v>0.0</v>
      </c>
      <c r="D53" s="178">
        <v>0.0</v>
      </c>
      <c r="E53" s="178">
        <v>0.0</v>
      </c>
      <c r="F53" s="178">
        <v>3.408</v>
      </c>
      <c r="G53" s="178">
        <v>7.709</v>
      </c>
      <c r="H53" s="179">
        <v>35.129</v>
      </c>
      <c r="I53" s="180">
        <v>9835.0</v>
      </c>
      <c r="J53" s="178">
        <v>0.0</v>
      </c>
      <c r="K53" s="178">
        <v>0.0</v>
      </c>
      <c r="L53" s="178">
        <v>0.0</v>
      </c>
      <c r="M53" s="178">
        <v>0.7979</v>
      </c>
      <c r="N53" s="178">
        <v>0.0</v>
      </c>
      <c r="O53" s="179">
        <v>36.9897</v>
      </c>
      <c r="P53" s="203">
        <v>0.0</v>
      </c>
      <c r="Q53" s="204">
        <v>0.437062</v>
      </c>
    </row>
    <row r="54">
      <c r="A54" s="170" t="s">
        <v>270</v>
      </c>
      <c r="B54" s="171">
        <v>1000.0</v>
      </c>
      <c r="C54" s="178">
        <v>0.0</v>
      </c>
      <c r="D54" s="178">
        <v>0.0</v>
      </c>
      <c r="E54" s="178">
        <v>0.2486</v>
      </c>
      <c r="F54" s="178">
        <v>1.4179</v>
      </c>
      <c r="G54" s="178">
        <v>1.9782</v>
      </c>
      <c r="H54" s="179">
        <v>10.1249</v>
      </c>
      <c r="I54" s="180">
        <v>9833.0</v>
      </c>
      <c r="J54" s="178">
        <v>0.0</v>
      </c>
      <c r="K54" s="178">
        <v>0.0</v>
      </c>
      <c r="L54" s="178">
        <v>0.0</v>
      </c>
      <c r="M54" s="178">
        <v>0.7979</v>
      </c>
      <c r="N54" s="178">
        <v>0.5311</v>
      </c>
      <c r="O54" s="179">
        <v>9.8759</v>
      </c>
      <c r="P54" s="203">
        <v>0.0</v>
      </c>
      <c r="Q54" s="204">
        <v>14.94734</v>
      </c>
    </row>
    <row r="55">
      <c r="A55" s="170" t="s">
        <v>111</v>
      </c>
      <c r="B55" s="171">
        <v>1000.0</v>
      </c>
      <c r="C55" s="178">
        <v>-0.6745</v>
      </c>
      <c r="D55" s="178">
        <v>-0.3567</v>
      </c>
      <c r="E55" s="178">
        <v>3.9584</v>
      </c>
      <c r="F55" s="178">
        <v>9.6513</v>
      </c>
      <c r="G55" s="178">
        <v>17.816</v>
      </c>
      <c r="H55" s="179">
        <v>87.1613</v>
      </c>
      <c r="I55" s="180">
        <v>9835.0</v>
      </c>
      <c r="J55" s="178">
        <v>-0.6745</v>
      </c>
      <c r="K55" s="178">
        <v>-0.6745</v>
      </c>
      <c r="L55" s="178">
        <v>0.0</v>
      </c>
      <c r="M55" s="178">
        <v>8.686</v>
      </c>
      <c r="N55" s="178">
        <v>11.0753</v>
      </c>
      <c r="O55" s="179">
        <v>279.2228</v>
      </c>
      <c r="P55" s="203">
        <v>0.521086</v>
      </c>
      <c r="Q55" s="204">
        <v>0.7725621</v>
      </c>
    </row>
    <row r="56">
      <c r="A56" s="182" t="s">
        <v>115</v>
      </c>
      <c r="B56" s="183">
        <v>1000.0</v>
      </c>
      <c r="C56" s="184">
        <v>-0.67</v>
      </c>
      <c r="D56" s="185">
        <v>-0.66</v>
      </c>
      <c r="E56" s="185">
        <v>1.01</v>
      </c>
      <c r="F56" s="185">
        <v>1.2</v>
      </c>
      <c r="G56" s="185">
        <v>3.05</v>
      </c>
      <c r="H56" s="186">
        <v>3.91</v>
      </c>
      <c r="I56" s="148">
        <v>9835.0</v>
      </c>
      <c r="J56" s="184">
        <v>-0.67</v>
      </c>
      <c r="K56" s="185">
        <v>-0.67</v>
      </c>
      <c r="L56" s="185">
        <v>0.0</v>
      </c>
      <c r="M56" s="185">
        <v>1.0</v>
      </c>
      <c r="N56" s="185">
        <v>2.88</v>
      </c>
      <c r="O56" s="205">
        <v>4.0</v>
      </c>
      <c r="P56" s="206">
        <v>13.7293</v>
      </c>
      <c r="Q56" s="207">
        <v>20.35506</v>
      </c>
    </row>
    <row r="57">
      <c r="A57" s="132"/>
      <c r="B57" s="133"/>
      <c r="C57" s="134" t="s">
        <v>274</v>
      </c>
      <c r="D57" s="135"/>
      <c r="E57" s="135"/>
      <c r="F57" s="135"/>
      <c r="G57" s="135"/>
      <c r="H57" s="136"/>
      <c r="I57" s="137"/>
      <c r="J57" s="134" t="s">
        <v>275</v>
      </c>
      <c r="K57" s="135"/>
      <c r="L57" s="135"/>
      <c r="M57" s="135"/>
      <c r="N57" s="135"/>
      <c r="O57" s="136"/>
      <c r="P57" s="190" t="s">
        <v>276</v>
      </c>
      <c r="Q57" s="139"/>
    </row>
    <row r="58">
      <c r="A58" s="140" t="s">
        <v>0</v>
      </c>
      <c r="B58" s="141" t="s">
        <v>254</v>
      </c>
      <c r="C58" s="142" t="s">
        <v>255</v>
      </c>
      <c r="D58" s="143" t="s">
        <v>256</v>
      </c>
      <c r="E58" s="143" t="s">
        <v>257</v>
      </c>
      <c r="F58" s="143" t="s">
        <v>258</v>
      </c>
      <c r="G58" s="143" t="s">
        <v>259</v>
      </c>
      <c r="H58" s="144" t="s">
        <v>260</v>
      </c>
      <c r="I58" s="141" t="s">
        <v>254</v>
      </c>
      <c r="J58" s="142" t="s">
        <v>255</v>
      </c>
      <c r="K58" s="143" t="s">
        <v>256</v>
      </c>
      <c r="L58" s="143" t="s">
        <v>257</v>
      </c>
      <c r="M58" s="143" t="s">
        <v>258</v>
      </c>
      <c r="N58" s="143" t="s">
        <v>259</v>
      </c>
      <c r="O58" s="191" t="s">
        <v>260</v>
      </c>
      <c r="P58" s="192" t="s">
        <v>257</v>
      </c>
      <c r="Q58" s="193" t="s">
        <v>261</v>
      </c>
    </row>
    <row r="59">
      <c r="A59" s="147" t="s">
        <v>7</v>
      </c>
      <c r="B59" s="148">
        <v>2000.0</v>
      </c>
      <c r="C59" s="149">
        <v>-1.83</v>
      </c>
      <c r="D59" s="150">
        <v>0.1</v>
      </c>
      <c r="E59" s="150">
        <v>0.77</v>
      </c>
      <c r="F59" s="150">
        <v>0.83</v>
      </c>
      <c r="G59" s="150">
        <v>1.45</v>
      </c>
      <c r="H59" s="151">
        <v>3.85</v>
      </c>
      <c r="I59" s="148">
        <v>19608.0</v>
      </c>
      <c r="J59" s="149">
        <v>-4.05</v>
      </c>
      <c r="K59" s="150">
        <v>-0.67</v>
      </c>
      <c r="L59" s="150">
        <v>0.0</v>
      </c>
      <c r="M59" s="150">
        <v>0.03</v>
      </c>
      <c r="N59" s="150">
        <v>0.67</v>
      </c>
      <c r="O59" s="194">
        <v>5.11</v>
      </c>
      <c r="P59" s="168">
        <v>43.0</v>
      </c>
      <c r="Q59" s="195">
        <v>10.3782</v>
      </c>
    </row>
    <row r="60">
      <c r="A60" s="147" t="s">
        <v>262</v>
      </c>
      <c r="B60" s="148">
        <v>2000.0</v>
      </c>
      <c r="C60" s="149">
        <v>-3.23</v>
      </c>
      <c r="D60" s="150">
        <v>-0.37</v>
      </c>
      <c r="E60" s="150">
        <v>0.49</v>
      </c>
      <c r="F60" s="150">
        <v>0.43</v>
      </c>
      <c r="G60" s="150">
        <v>1.34</v>
      </c>
      <c r="H60" s="151">
        <v>2.81</v>
      </c>
      <c r="I60" s="148">
        <v>19608.0</v>
      </c>
      <c r="J60" s="149">
        <v>-4.29</v>
      </c>
      <c r="K60" s="150">
        <v>-0.69</v>
      </c>
      <c r="L60" s="150">
        <v>0.0</v>
      </c>
      <c r="M60" s="150">
        <v>-0.02</v>
      </c>
      <c r="N60" s="150">
        <v>0.66</v>
      </c>
      <c r="O60" s="194">
        <v>5.71</v>
      </c>
      <c r="P60" s="168">
        <v>-1.77</v>
      </c>
      <c r="Q60" s="195">
        <v>0.830256</v>
      </c>
    </row>
    <row r="61">
      <c r="A61" s="147" t="s">
        <v>263</v>
      </c>
      <c r="B61" s="148">
        <v>2000.0</v>
      </c>
      <c r="C61" s="149">
        <v>-6.17</v>
      </c>
      <c r="D61" s="150">
        <v>-0.13</v>
      </c>
      <c r="E61" s="150">
        <v>0.47</v>
      </c>
      <c r="F61" s="150">
        <v>0.39</v>
      </c>
      <c r="G61" s="150">
        <v>1.05</v>
      </c>
      <c r="H61" s="151">
        <v>3.47</v>
      </c>
      <c r="I61" s="148">
        <v>19608.0</v>
      </c>
      <c r="J61" s="149">
        <v>-14.27</v>
      </c>
      <c r="K61" s="150">
        <v>-0.74</v>
      </c>
      <c r="L61" s="150">
        <v>0.0</v>
      </c>
      <c r="M61" s="150">
        <v>-0.12</v>
      </c>
      <c r="N61" s="150">
        <v>0.64</v>
      </c>
      <c r="O61" s="194">
        <v>11.2</v>
      </c>
      <c r="P61" s="168">
        <v>-0.02</v>
      </c>
      <c r="Q61" s="195">
        <v>0.29652</v>
      </c>
    </row>
    <row r="62">
      <c r="A62" s="147" t="s">
        <v>264</v>
      </c>
      <c r="B62" s="148">
        <v>2000.0</v>
      </c>
      <c r="C62" s="149">
        <v>-6.66</v>
      </c>
      <c r="D62" s="150">
        <v>-1.17</v>
      </c>
      <c r="E62" s="150">
        <v>-0.35</v>
      </c>
      <c r="F62" s="150">
        <v>-0.45</v>
      </c>
      <c r="G62" s="150">
        <v>0.35</v>
      </c>
      <c r="H62" s="151">
        <v>3.28</v>
      </c>
      <c r="I62" s="148">
        <v>19608.0</v>
      </c>
      <c r="J62" s="149">
        <v>-9.12</v>
      </c>
      <c r="K62" s="150">
        <v>-0.73</v>
      </c>
      <c r="L62" s="150">
        <v>0.0</v>
      </c>
      <c r="M62" s="150">
        <v>-0.1</v>
      </c>
      <c r="N62" s="150">
        <v>0.65</v>
      </c>
      <c r="O62" s="194">
        <v>6.01</v>
      </c>
      <c r="P62" s="168">
        <v>-0.22</v>
      </c>
      <c r="Q62" s="195">
        <v>0.340998</v>
      </c>
    </row>
    <row r="63">
      <c r="A63" s="147" t="s">
        <v>265</v>
      </c>
      <c r="B63" s="148">
        <v>2000.0</v>
      </c>
      <c r="C63" s="149">
        <v>-7.57</v>
      </c>
      <c r="D63" s="150">
        <v>-1.7</v>
      </c>
      <c r="E63" s="150">
        <v>-0.75</v>
      </c>
      <c r="F63" s="150">
        <v>-0.95</v>
      </c>
      <c r="G63" s="150">
        <v>0.02</v>
      </c>
      <c r="H63" s="151">
        <v>4.27</v>
      </c>
      <c r="I63" s="148">
        <v>19608.0</v>
      </c>
      <c r="J63" s="149">
        <v>-9.69</v>
      </c>
      <c r="K63" s="150">
        <v>-0.8</v>
      </c>
      <c r="L63" s="150">
        <v>0.0</v>
      </c>
      <c r="M63" s="150">
        <v>-0.21</v>
      </c>
      <c r="N63" s="150">
        <v>0.6</v>
      </c>
      <c r="O63" s="194">
        <v>6.65</v>
      </c>
      <c r="P63" s="168">
        <v>-0.48</v>
      </c>
      <c r="Q63" s="195">
        <v>0.400302</v>
      </c>
    </row>
    <row r="64">
      <c r="A64" s="147" t="s">
        <v>18</v>
      </c>
      <c r="B64" s="148">
        <v>1998.0</v>
      </c>
      <c r="C64" s="149">
        <v>0.0</v>
      </c>
      <c r="D64" s="150">
        <v>0.0</v>
      </c>
      <c r="E64" s="150">
        <v>0.0</v>
      </c>
      <c r="F64" s="150">
        <v>0.32</v>
      </c>
      <c r="G64" s="150">
        <v>0.0</v>
      </c>
      <c r="H64" s="151">
        <v>12.93</v>
      </c>
      <c r="I64" s="148">
        <v>19514.0</v>
      </c>
      <c r="J64" s="149">
        <v>0.0</v>
      </c>
      <c r="K64" s="150">
        <v>0.0</v>
      </c>
      <c r="L64" s="150">
        <v>0.0</v>
      </c>
      <c r="M64" s="150">
        <v>0.8</v>
      </c>
      <c r="N64" s="150">
        <v>0.55</v>
      </c>
      <c r="O64" s="194">
        <v>143.55</v>
      </c>
      <c r="P64" s="168">
        <v>0.0</v>
      </c>
      <c r="Q64" s="195">
        <v>0.05573153</v>
      </c>
    </row>
    <row r="65">
      <c r="A65" s="147" t="s">
        <v>24</v>
      </c>
      <c r="B65" s="148">
        <v>1999.0</v>
      </c>
      <c r="C65" s="149">
        <v>-1.3</v>
      </c>
      <c r="D65" s="150">
        <v>-0.14</v>
      </c>
      <c r="E65" s="150">
        <v>0.48</v>
      </c>
      <c r="F65" s="150">
        <v>0.88</v>
      </c>
      <c r="G65" s="150">
        <v>2.19</v>
      </c>
      <c r="H65" s="151">
        <v>3.17</v>
      </c>
      <c r="I65" s="148">
        <v>19405.0</v>
      </c>
      <c r="J65" s="149">
        <v>-1.35</v>
      </c>
      <c r="K65" s="150">
        <v>-0.84</v>
      </c>
      <c r="L65" s="150">
        <v>0.0</v>
      </c>
      <c r="M65" s="150">
        <v>0.07</v>
      </c>
      <c r="N65" s="150">
        <v>0.56</v>
      </c>
      <c r="O65" s="194">
        <v>3.17</v>
      </c>
      <c r="P65" s="168">
        <v>2.662</v>
      </c>
      <c r="Q65" s="195">
        <v>1.970375</v>
      </c>
    </row>
    <row r="66">
      <c r="A66" s="147" t="s">
        <v>30</v>
      </c>
      <c r="B66" s="148">
        <v>1997.0</v>
      </c>
      <c r="C66" s="149">
        <v>-1.55</v>
      </c>
      <c r="D66" s="150">
        <v>-0.13</v>
      </c>
      <c r="E66" s="150">
        <v>0.53</v>
      </c>
      <c r="F66" s="150">
        <v>0.79</v>
      </c>
      <c r="G66" s="150">
        <v>1.34</v>
      </c>
      <c r="H66" s="151">
        <v>6.08</v>
      </c>
      <c r="I66" s="148">
        <v>19318.0</v>
      </c>
      <c r="J66" s="149">
        <v>-1.55</v>
      </c>
      <c r="K66" s="150">
        <v>-0.84</v>
      </c>
      <c r="L66" s="150">
        <v>0.0</v>
      </c>
      <c r="M66" s="150">
        <v>-0.04</v>
      </c>
      <c r="N66" s="150">
        <v>0.58</v>
      </c>
      <c r="O66" s="194">
        <v>5.97</v>
      </c>
      <c r="P66" s="168">
        <v>2.08</v>
      </c>
      <c r="Q66" s="195">
        <v>1.303947</v>
      </c>
    </row>
    <row r="67">
      <c r="A67" s="147" t="s">
        <v>35</v>
      </c>
      <c r="B67" s="148">
        <v>1912.0</v>
      </c>
      <c r="C67" s="149">
        <v>-1.16</v>
      </c>
      <c r="D67" s="150">
        <v>-0.08</v>
      </c>
      <c r="E67" s="150">
        <v>0.53</v>
      </c>
      <c r="F67" s="150">
        <v>0.53</v>
      </c>
      <c r="G67" s="150">
        <v>1.08</v>
      </c>
      <c r="H67" s="151">
        <v>3.96</v>
      </c>
      <c r="I67" s="148">
        <v>18279.0</v>
      </c>
      <c r="J67" s="149">
        <v>-1.16</v>
      </c>
      <c r="K67" s="150">
        <v>-0.68</v>
      </c>
      <c r="L67" s="150">
        <v>0.0</v>
      </c>
      <c r="M67" s="150">
        <v>0.06</v>
      </c>
      <c r="N67" s="150">
        <v>0.65</v>
      </c>
      <c r="O67" s="194">
        <v>3.9</v>
      </c>
      <c r="P67" s="168">
        <v>1.99</v>
      </c>
      <c r="Q67" s="195">
        <v>1.690164</v>
      </c>
    </row>
    <row r="68">
      <c r="A68" s="147" t="s">
        <v>40</v>
      </c>
      <c r="B68" s="148">
        <v>1388.0</v>
      </c>
      <c r="C68" s="149">
        <v>-1.07</v>
      </c>
      <c r="D68" s="150">
        <v>-0.49</v>
      </c>
      <c r="E68" s="150">
        <v>0.29</v>
      </c>
      <c r="F68" s="150">
        <v>0.33</v>
      </c>
      <c r="G68" s="150">
        <v>0.98</v>
      </c>
      <c r="H68" s="151">
        <v>3.42</v>
      </c>
      <c r="I68" s="148">
        <v>13110.0</v>
      </c>
      <c r="J68" s="149">
        <v>-1.77</v>
      </c>
      <c r="K68" s="150">
        <v>-0.66</v>
      </c>
      <c r="L68" s="150">
        <v>0.0</v>
      </c>
      <c r="M68" s="150">
        <v>0.07</v>
      </c>
      <c r="N68" s="150">
        <v>0.7</v>
      </c>
      <c r="O68" s="194">
        <v>3.44</v>
      </c>
      <c r="P68" s="168">
        <v>1.23</v>
      </c>
      <c r="Q68" s="195">
        <v>1.11788</v>
      </c>
    </row>
    <row r="69">
      <c r="A69" s="147" t="s">
        <v>44</v>
      </c>
      <c r="B69" s="148">
        <v>2000.0</v>
      </c>
      <c r="C69" s="149">
        <v>-1.06</v>
      </c>
      <c r="D69" s="150">
        <v>0.13</v>
      </c>
      <c r="E69" s="150">
        <v>2.06</v>
      </c>
      <c r="F69" s="150">
        <v>58.17</v>
      </c>
      <c r="G69" s="150">
        <v>7.57</v>
      </c>
      <c r="H69" s="151">
        <v>64250.93</v>
      </c>
      <c r="I69" s="148">
        <v>19608.0</v>
      </c>
      <c r="J69" s="149">
        <v>-1.06</v>
      </c>
      <c r="K69" s="150">
        <v>-0.54</v>
      </c>
      <c r="L69" s="150">
        <v>0.0</v>
      </c>
      <c r="M69" s="150">
        <v>1.19</v>
      </c>
      <c r="N69" s="150">
        <v>1.08</v>
      </c>
      <c r="O69" s="194">
        <v>673.91</v>
      </c>
      <c r="P69" s="168">
        <v>0.55</v>
      </c>
      <c r="Q69" s="195">
        <v>0.51891</v>
      </c>
    </row>
    <row r="70">
      <c r="A70" s="147" t="s">
        <v>49</v>
      </c>
      <c r="B70" s="148">
        <v>2000.0</v>
      </c>
      <c r="C70" s="149">
        <v>-0.93</v>
      </c>
      <c r="D70" s="150">
        <v>0.13</v>
      </c>
      <c r="E70" s="150">
        <v>2.56</v>
      </c>
      <c r="F70" s="150">
        <v>65.91</v>
      </c>
      <c r="G70" s="150">
        <v>12.19</v>
      </c>
      <c r="H70" s="151">
        <v>24600.62</v>
      </c>
      <c r="I70" s="148">
        <v>19608.0</v>
      </c>
      <c r="J70" s="149">
        <v>-0.93</v>
      </c>
      <c r="K70" s="150">
        <v>-0.55</v>
      </c>
      <c r="L70" s="150">
        <v>0.0</v>
      </c>
      <c r="M70" s="150">
        <v>1.41</v>
      </c>
      <c r="N70" s="150">
        <v>1.24</v>
      </c>
      <c r="O70" s="194">
        <v>470.5</v>
      </c>
      <c r="P70" s="168">
        <v>0.44</v>
      </c>
      <c r="Q70" s="195">
        <v>0.474432</v>
      </c>
    </row>
    <row r="71">
      <c r="A71" s="147" t="s">
        <v>54</v>
      </c>
      <c r="B71" s="148">
        <v>1999.0</v>
      </c>
      <c r="C71" s="149">
        <v>-0.67</v>
      </c>
      <c r="D71" s="150">
        <v>-0.67</v>
      </c>
      <c r="E71" s="150">
        <v>-0.67</v>
      </c>
      <c r="F71" s="150">
        <v>2659.38</v>
      </c>
      <c r="G71" s="150">
        <v>-0.08</v>
      </c>
      <c r="H71" s="151">
        <v>74498.18</v>
      </c>
      <c r="I71" s="148">
        <v>19576.0</v>
      </c>
      <c r="J71" s="149">
        <v>-0.67</v>
      </c>
      <c r="K71" s="150">
        <v>-0.67</v>
      </c>
      <c r="L71" s="150">
        <v>0.0</v>
      </c>
      <c r="M71" s="150">
        <v>10932.17</v>
      </c>
      <c r="N71" s="150">
        <v>3156.36</v>
      </c>
      <c r="O71" s="194">
        <v>81355.56</v>
      </c>
      <c r="P71" s="168">
        <v>5.0</v>
      </c>
      <c r="Q71" s="195">
        <v>5.9304</v>
      </c>
    </row>
    <row r="72">
      <c r="A72" s="147" t="s">
        <v>267</v>
      </c>
      <c r="B72" s="148">
        <v>2000.0</v>
      </c>
      <c r="C72" s="149">
        <v>-1.1</v>
      </c>
      <c r="D72" s="150">
        <v>-0.32</v>
      </c>
      <c r="E72" s="150">
        <v>0.57</v>
      </c>
      <c r="F72" s="150">
        <v>1.76</v>
      </c>
      <c r="G72" s="150">
        <v>2.08</v>
      </c>
      <c r="H72" s="151">
        <v>74.51</v>
      </c>
      <c r="I72" s="148">
        <v>19608.0</v>
      </c>
      <c r="J72" s="149">
        <v>-1.11</v>
      </c>
      <c r="K72" s="150">
        <v>-0.55</v>
      </c>
      <c r="L72" s="150">
        <v>0.0</v>
      </c>
      <c r="M72" s="150">
        <v>13.89</v>
      </c>
      <c r="N72" s="150">
        <v>1.11</v>
      </c>
      <c r="O72" s="194">
        <v>6968.64</v>
      </c>
      <c r="P72" s="168">
        <v>764.0</v>
      </c>
      <c r="Q72" s="195">
        <v>683.4786</v>
      </c>
    </row>
    <row r="73">
      <c r="A73" s="147" t="s">
        <v>73</v>
      </c>
      <c r="B73" s="148">
        <v>2000.0</v>
      </c>
      <c r="C73" s="149">
        <v>-2.56</v>
      </c>
      <c r="D73" s="150">
        <v>-0.52</v>
      </c>
      <c r="E73" s="150">
        <v>0.16</v>
      </c>
      <c r="F73" s="150">
        <v>0.12</v>
      </c>
      <c r="G73" s="150">
        <v>0.83</v>
      </c>
      <c r="H73" s="151">
        <v>2.35</v>
      </c>
      <c r="I73" s="148">
        <v>19608.0</v>
      </c>
      <c r="J73" s="149">
        <v>-3.12</v>
      </c>
      <c r="K73" s="150">
        <v>-0.68</v>
      </c>
      <c r="L73" s="150">
        <v>0.0</v>
      </c>
      <c r="M73" s="150">
        <v>-0.03</v>
      </c>
      <c r="N73" s="150">
        <v>0.67</v>
      </c>
      <c r="O73" s="194">
        <v>2.43</v>
      </c>
      <c r="P73" s="168">
        <v>0.379705</v>
      </c>
      <c r="Q73" s="195">
        <v>0.05275832</v>
      </c>
    </row>
    <row r="74">
      <c r="A74" s="147" t="s">
        <v>67</v>
      </c>
      <c r="B74" s="148">
        <v>1818.0</v>
      </c>
      <c r="C74" s="149">
        <v>-1.79</v>
      </c>
      <c r="D74" s="150">
        <v>-0.62</v>
      </c>
      <c r="E74" s="150">
        <v>-0.17</v>
      </c>
      <c r="F74" s="150">
        <v>0.41</v>
      </c>
      <c r="G74" s="150">
        <v>0.6</v>
      </c>
      <c r="H74" s="151">
        <v>34.99</v>
      </c>
      <c r="I74" s="148">
        <v>18118.0</v>
      </c>
      <c r="J74" s="149">
        <v>-1.88</v>
      </c>
      <c r="K74" s="150">
        <v>-0.58</v>
      </c>
      <c r="L74" s="150">
        <v>0.0</v>
      </c>
      <c r="M74" s="150">
        <v>0.3</v>
      </c>
      <c r="N74" s="150">
        <v>0.86</v>
      </c>
      <c r="O74" s="194">
        <v>25.5</v>
      </c>
      <c r="P74" s="168">
        <v>6.63</v>
      </c>
      <c r="Q74" s="195">
        <v>3.42</v>
      </c>
    </row>
    <row r="75">
      <c r="A75" s="147" t="s">
        <v>79</v>
      </c>
      <c r="B75" s="148">
        <v>1938.0</v>
      </c>
      <c r="C75" s="149">
        <v>-1.03</v>
      </c>
      <c r="D75" s="150">
        <v>-0.04</v>
      </c>
      <c r="E75" s="150">
        <v>0.57</v>
      </c>
      <c r="F75" s="150">
        <v>0.49</v>
      </c>
      <c r="G75" s="150">
        <v>1.02</v>
      </c>
      <c r="H75" s="151">
        <v>3.5</v>
      </c>
      <c r="I75" s="148">
        <v>18694.0</v>
      </c>
      <c r="J75" s="149">
        <v>-1.06</v>
      </c>
      <c r="K75" s="150">
        <v>-0.66</v>
      </c>
      <c r="L75" s="150">
        <v>0.0</v>
      </c>
      <c r="M75" s="150">
        <v>0.07</v>
      </c>
      <c r="N75" s="150">
        <v>0.71</v>
      </c>
      <c r="O75" s="194">
        <v>5.09</v>
      </c>
      <c r="P75" s="168">
        <v>69.81</v>
      </c>
      <c r="Q75" s="195">
        <v>0.66</v>
      </c>
    </row>
    <row r="76">
      <c r="A76" s="147" t="s">
        <v>84</v>
      </c>
      <c r="B76" s="148">
        <v>2000.0</v>
      </c>
      <c r="C76" s="149">
        <v>-21.08</v>
      </c>
      <c r="D76" s="150">
        <v>-1.78</v>
      </c>
      <c r="E76" s="150">
        <v>-0.27</v>
      </c>
      <c r="F76" s="150">
        <v>-1.33</v>
      </c>
      <c r="G76" s="150">
        <v>0.4</v>
      </c>
      <c r="H76" s="151">
        <v>1.16</v>
      </c>
      <c r="I76" s="148">
        <v>19608.0</v>
      </c>
      <c r="J76" s="149">
        <v>-19.67</v>
      </c>
      <c r="K76" s="150">
        <v>-1.27</v>
      </c>
      <c r="L76" s="150">
        <v>0.0</v>
      </c>
      <c r="M76" s="150">
        <v>-0.88</v>
      </c>
      <c r="N76" s="150">
        <v>0.53</v>
      </c>
      <c r="O76" s="194">
        <v>1.19</v>
      </c>
      <c r="P76" s="168">
        <v>-43.17</v>
      </c>
      <c r="Q76" s="195">
        <v>36.21992</v>
      </c>
    </row>
    <row r="77">
      <c r="A77" s="147" t="s">
        <v>90</v>
      </c>
      <c r="B77" s="148">
        <v>2000.0</v>
      </c>
      <c r="C77" s="149">
        <v>-3.51</v>
      </c>
      <c r="D77" s="150">
        <v>-0.94</v>
      </c>
      <c r="E77" s="150">
        <v>-0.29</v>
      </c>
      <c r="F77" s="150">
        <v>-0.31</v>
      </c>
      <c r="G77" s="150">
        <v>0.31</v>
      </c>
      <c r="H77" s="151">
        <v>2.76</v>
      </c>
      <c r="I77" s="148">
        <v>19608.0</v>
      </c>
      <c r="J77" s="149">
        <v>-5.04</v>
      </c>
      <c r="K77" s="150">
        <v>-0.69</v>
      </c>
      <c r="L77" s="150">
        <v>0.0</v>
      </c>
      <c r="M77" s="150">
        <v>-0.02</v>
      </c>
      <c r="N77" s="150">
        <v>0.67</v>
      </c>
      <c r="O77" s="194">
        <v>5.19</v>
      </c>
      <c r="P77" s="168">
        <v>-6.762</v>
      </c>
      <c r="Q77" s="195">
        <v>1.206836</v>
      </c>
    </row>
    <row r="78">
      <c r="A78" s="147" t="s">
        <v>97</v>
      </c>
      <c r="B78" s="148">
        <v>1989.0</v>
      </c>
      <c r="C78" s="149">
        <v>-3.53</v>
      </c>
      <c r="D78" s="150">
        <v>-0.5</v>
      </c>
      <c r="E78" s="150">
        <v>0.1</v>
      </c>
      <c r="F78" s="150">
        <v>0.5</v>
      </c>
      <c r="G78" s="150">
        <v>0.96</v>
      </c>
      <c r="H78" s="151">
        <v>20.81</v>
      </c>
      <c r="I78" s="148">
        <v>19448.0</v>
      </c>
      <c r="J78" s="149">
        <v>-3.54</v>
      </c>
      <c r="K78" s="150">
        <v>-0.58</v>
      </c>
      <c r="L78" s="150">
        <v>0.0</v>
      </c>
      <c r="M78" s="150">
        <v>0.71</v>
      </c>
      <c r="N78" s="150">
        <v>0.86</v>
      </c>
      <c r="O78" s="194">
        <v>81.38</v>
      </c>
      <c r="P78" s="168">
        <v>0.2357785</v>
      </c>
      <c r="Q78" s="195">
        <v>0.06555316</v>
      </c>
    </row>
    <row r="79">
      <c r="A79" s="147" t="s">
        <v>103</v>
      </c>
      <c r="B79" s="148">
        <v>1989.0</v>
      </c>
      <c r="C79" s="149">
        <v>-0.69</v>
      </c>
      <c r="D79" s="150">
        <v>-0.62</v>
      </c>
      <c r="E79" s="150">
        <v>-0.26</v>
      </c>
      <c r="F79" s="150">
        <v>1.87</v>
      </c>
      <c r="G79" s="150">
        <v>2.32</v>
      </c>
      <c r="H79" s="151">
        <v>60.11</v>
      </c>
      <c r="I79" s="148">
        <v>19448.0</v>
      </c>
      <c r="J79" s="149">
        <v>-0.69</v>
      </c>
      <c r="K79" s="150">
        <v>-0.61</v>
      </c>
      <c r="L79" s="150">
        <v>0.0</v>
      </c>
      <c r="M79" s="150">
        <v>2.3</v>
      </c>
      <c r="N79" s="150">
        <v>3.05</v>
      </c>
      <c r="O79" s="194">
        <v>81.78</v>
      </c>
      <c r="P79" s="168">
        <v>0.001065</v>
      </c>
      <c r="Q79" s="208">
        <v>0.00154042</v>
      </c>
    </row>
    <row r="80">
      <c r="A80" s="161" t="s">
        <v>268</v>
      </c>
      <c r="B80" s="162">
        <v>2000.0</v>
      </c>
      <c r="C80" s="163">
        <v>0.0</v>
      </c>
      <c r="D80" s="163">
        <v>0.0</v>
      </c>
      <c r="E80" s="163">
        <v>0.0</v>
      </c>
      <c r="F80" s="163">
        <v>3.803</v>
      </c>
      <c r="G80" s="163">
        <v>5.282</v>
      </c>
      <c r="H80" s="164">
        <v>43.107</v>
      </c>
      <c r="I80" s="200">
        <v>19608.0</v>
      </c>
      <c r="J80" s="163">
        <v>0.0</v>
      </c>
      <c r="K80" s="163">
        <v>0.0</v>
      </c>
      <c r="L80" s="163">
        <v>0.0</v>
      </c>
      <c r="M80" s="163">
        <v>0.7979</v>
      </c>
      <c r="N80" s="163">
        <v>0.0</v>
      </c>
      <c r="O80" s="164">
        <v>49.4935</v>
      </c>
      <c r="P80" s="201">
        <v>0.0</v>
      </c>
      <c r="Q80" s="202">
        <v>1.266422</v>
      </c>
    </row>
    <row r="81">
      <c r="A81" s="170" t="s">
        <v>269</v>
      </c>
      <c r="B81" s="171">
        <v>2000.0</v>
      </c>
      <c r="C81" s="178">
        <v>0.0</v>
      </c>
      <c r="D81" s="178">
        <v>0.0</v>
      </c>
      <c r="E81" s="178">
        <v>0.0</v>
      </c>
      <c r="F81" s="178">
        <v>5.115</v>
      </c>
      <c r="G81" s="178">
        <v>7.89</v>
      </c>
      <c r="H81" s="179">
        <v>62.038</v>
      </c>
      <c r="I81" s="180">
        <v>19608.0</v>
      </c>
      <c r="J81" s="178">
        <v>0.0</v>
      </c>
      <c r="K81" s="178">
        <v>0.0</v>
      </c>
      <c r="L81" s="178">
        <v>0.0</v>
      </c>
      <c r="M81" s="178">
        <v>0.7979</v>
      </c>
      <c r="N81" s="178">
        <v>0.0</v>
      </c>
      <c r="O81" s="179">
        <v>65.5767</v>
      </c>
      <c r="P81" s="203">
        <v>0.0</v>
      </c>
      <c r="Q81" s="204">
        <v>0.2876022</v>
      </c>
    </row>
    <row r="82">
      <c r="A82" s="170" t="s">
        <v>270</v>
      </c>
      <c r="B82" s="171">
        <v>2000.0</v>
      </c>
      <c r="C82" s="178">
        <v>0.0</v>
      </c>
      <c r="D82" s="178">
        <v>-0.4504</v>
      </c>
      <c r="E82" s="178">
        <v>1.135</v>
      </c>
      <c r="F82" s="178">
        <v>3.472</v>
      </c>
      <c r="G82" s="178">
        <v>6.281</v>
      </c>
      <c r="H82" s="179">
        <v>22.292</v>
      </c>
      <c r="I82" s="180">
        <v>19608.0</v>
      </c>
      <c r="J82" s="178">
        <v>0.0</v>
      </c>
      <c r="K82" s="178">
        <v>-0.6745</v>
      </c>
      <c r="L82" s="178">
        <v>0.0</v>
      </c>
      <c r="M82" s="178">
        <v>0.7979</v>
      </c>
      <c r="N82" s="178">
        <v>0.4468</v>
      </c>
      <c r="O82" s="179">
        <v>21.5193</v>
      </c>
      <c r="P82" s="203">
        <v>0.0</v>
      </c>
      <c r="Q82" s="204">
        <v>6.312387</v>
      </c>
    </row>
    <row r="83">
      <c r="A83" s="170" t="s">
        <v>111</v>
      </c>
      <c r="B83" s="171">
        <v>2000.0</v>
      </c>
      <c r="C83" s="178">
        <v>-0.6745</v>
      </c>
      <c r="D83" s="178">
        <v>0.4432</v>
      </c>
      <c r="E83" s="178">
        <v>9.0509</v>
      </c>
      <c r="F83" s="178">
        <v>12.4968</v>
      </c>
      <c r="G83" s="178">
        <v>21.4321</v>
      </c>
      <c r="H83" s="179">
        <v>116.2158</v>
      </c>
      <c r="I83" s="180">
        <v>19608.0</v>
      </c>
      <c r="J83" s="178">
        <v>-0.6745</v>
      </c>
      <c r="K83" s="178">
        <v>-0.6745</v>
      </c>
      <c r="L83" s="178">
        <v>0.0</v>
      </c>
      <c r="M83" s="178">
        <v>4.5493</v>
      </c>
      <c r="N83" s="178">
        <v>5.9162</v>
      </c>
      <c r="O83" s="179">
        <v>181.3909</v>
      </c>
      <c r="P83" s="203">
        <v>0.5266475</v>
      </c>
      <c r="Q83" s="204">
        <v>0.7808076</v>
      </c>
    </row>
    <row r="84">
      <c r="A84" s="182" t="s">
        <v>115</v>
      </c>
      <c r="B84" s="183">
        <v>2000.0</v>
      </c>
      <c r="C84" s="184">
        <v>-2.4</v>
      </c>
      <c r="D84" s="185">
        <v>-2.32</v>
      </c>
      <c r="E84" s="185">
        <v>-0.37</v>
      </c>
      <c r="F84" s="185">
        <v>-0.79</v>
      </c>
      <c r="G84" s="185">
        <v>0.38</v>
      </c>
      <c r="H84" s="186">
        <v>1.11</v>
      </c>
      <c r="I84" s="183">
        <v>19608.0</v>
      </c>
      <c r="J84" s="184">
        <v>-2.4</v>
      </c>
      <c r="K84" s="185">
        <v>-2.39</v>
      </c>
      <c r="L84" s="185">
        <v>0.0</v>
      </c>
      <c r="M84" s="185">
        <v>-0.56</v>
      </c>
      <c r="N84" s="185">
        <v>0.5</v>
      </c>
      <c r="O84" s="205">
        <v>1.15</v>
      </c>
      <c r="P84" s="206">
        <v>63.50565</v>
      </c>
      <c r="Q84" s="207">
        <v>26.43735</v>
      </c>
    </row>
    <row r="85">
      <c r="A85" s="28" t="s">
        <v>277</v>
      </c>
      <c r="O85" s="209"/>
    </row>
    <row r="86">
      <c r="O86" s="209"/>
    </row>
    <row r="87">
      <c r="B87" s="209"/>
      <c r="C87" s="209"/>
      <c r="D87" s="209"/>
      <c r="E87" s="209"/>
      <c r="F87" s="209"/>
      <c r="G87" s="209"/>
      <c r="H87" s="209"/>
      <c r="I87" s="209"/>
      <c r="J87" s="209"/>
      <c r="K87" s="209"/>
      <c r="L87" s="209"/>
      <c r="M87" s="209"/>
      <c r="N87" s="209"/>
      <c r="O87" s="209"/>
    </row>
    <row r="88">
      <c r="B88" s="209"/>
      <c r="C88" s="209"/>
      <c r="D88" s="209"/>
      <c r="E88" s="209"/>
      <c r="F88" s="209"/>
      <c r="G88" s="209"/>
      <c r="H88" s="209"/>
      <c r="I88" s="209"/>
      <c r="J88" s="209"/>
      <c r="K88" s="209"/>
      <c r="L88" s="209"/>
      <c r="M88" s="209"/>
      <c r="N88" s="209"/>
      <c r="O88" s="209"/>
    </row>
    <row r="89">
      <c r="B89" s="209"/>
      <c r="C89" s="209"/>
      <c r="D89" s="209"/>
      <c r="E89" s="209"/>
      <c r="F89" s="209"/>
      <c r="G89" s="209"/>
      <c r="H89" s="209"/>
      <c r="I89" s="209"/>
      <c r="J89" s="209"/>
      <c r="K89" s="209"/>
      <c r="L89" s="209"/>
      <c r="M89" s="209"/>
      <c r="N89" s="209"/>
      <c r="O89" s="209"/>
    </row>
    <row r="90">
      <c r="B90" s="209"/>
      <c r="C90" s="209"/>
      <c r="D90" s="209"/>
      <c r="E90" s="209"/>
      <c r="F90" s="209"/>
      <c r="G90" s="209"/>
      <c r="H90" s="209"/>
      <c r="I90" s="209"/>
      <c r="J90" s="209"/>
      <c r="K90" s="209"/>
      <c r="L90" s="209"/>
      <c r="M90" s="209"/>
      <c r="N90" s="209"/>
      <c r="O90" s="209"/>
    </row>
    <row r="91">
      <c r="B91" s="209"/>
      <c r="C91" s="209"/>
      <c r="D91" s="209"/>
      <c r="E91" s="209"/>
      <c r="F91" s="209"/>
      <c r="G91" s="209"/>
      <c r="H91" s="209"/>
      <c r="I91" s="209"/>
      <c r="J91" s="209"/>
      <c r="K91" s="209"/>
      <c r="L91" s="209"/>
      <c r="M91" s="209"/>
      <c r="N91" s="209"/>
      <c r="O91" s="209"/>
    </row>
    <row r="92">
      <c r="B92" s="209"/>
      <c r="C92" s="209"/>
      <c r="D92" s="209"/>
      <c r="E92" s="209"/>
      <c r="F92" s="209"/>
      <c r="G92" s="209"/>
      <c r="H92" s="209"/>
      <c r="I92" s="209"/>
      <c r="J92" s="209"/>
      <c r="K92" s="209"/>
      <c r="L92" s="209"/>
      <c r="M92" s="209"/>
      <c r="N92" s="209"/>
      <c r="O92" s="209"/>
    </row>
    <row r="93">
      <c r="B93" s="209"/>
      <c r="C93" s="209"/>
      <c r="D93" s="209"/>
      <c r="E93" s="209"/>
      <c r="F93" s="209"/>
      <c r="G93" s="209"/>
      <c r="H93" s="209"/>
      <c r="I93" s="209"/>
      <c r="J93" s="209"/>
      <c r="K93" s="209"/>
      <c r="L93" s="209"/>
      <c r="M93" s="209"/>
      <c r="N93" s="209"/>
      <c r="O93" s="209"/>
    </row>
    <row r="94">
      <c r="B94" s="209"/>
      <c r="C94" s="209"/>
      <c r="D94" s="209"/>
      <c r="E94" s="209"/>
      <c r="F94" s="209"/>
      <c r="G94" s="209"/>
      <c r="H94" s="209"/>
      <c r="I94" s="209"/>
      <c r="J94" s="209"/>
      <c r="K94" s="209"/>
      <c r="L94" s="209"/>
      <c r="M94" s="209"/>
      <c r="N94" s="209"/>
      <c r="O94" s="209"/>
    </row>
    <row r="95">
      <c r="B95" s="209"/>
      <c r="C95" s="209"/>
      <c r="D95" s="209"/>
      <c r="E95" s="209"/>
      <c r="F95" s="209"/>
      <c r="G95" s="209"/>
      <c r="H95" s="209"/>
      <c r="I95" s="209"/>
      <c r="J95" s="209"/>
      <c r="K95" s="209"/>
      <c r="L95" s="209"/>
      <c r="M95" s="209"/>
      <c r="N95" s="209"/>
      <c r="O95" s="209"/>
    </row>
    <row r="96">
      <c r="B96" s="209"/>
      <c r="C96" s="209"/>
      <c r="D96" s="209"/>
      <c r="E96" s="209"/>
      <c r="F96" s="209"/>
      <c r="G96" s="209"/>
      <c r="H96" s="209"/>
      <c r="I96" s="209"/>
      <c r="J96" s="209"/>
      <c r="K96" s="209"/>
      <c r="L96" s="209"/>
      <c r="M96" s="209"/>
      <c r="N96" s="209"/>
      <c r="O96" s="209"/>
    </row>
    <row r="97">
      <c r="B97" s="209"/>
      <c r="C97" s="209"/>
      <c r="D97" s="209"/>
      <c r="E97" s="209"/>
      <c r="F97" s="209"/>
      <c r="G97" s="209"/>
      <c r="H97" s="209"/>
      <c r="I97" s="209"/>
      <c r="J97" s="209"/>
      <c r="K97" s="209"/>
      <c r="L97" s="209"/>
      <c r="M97" s="209"/>
      <c r="N97" s="209"/>
      <c r="O97" s="209"/>
    </row>
    <row r="98">
      <c r="B98" s="209"/>
      <c r="C98" s="209"/>
      <c r="D98" s="209"/>
      <c r="E98" s="209"/>
      <c r="F98" s="209"/>
      <c r="G98" s="209"/>
      <c r="H98" s="209"/>
      <c r="I98" s="209"/>
      <c r="J98" s="209"/>
      <c r="K98" s="209"/>
      <c r="L98" s="209"/>
      <c r="M98" s="209"/>
      <c r="N98" s="209"/>
      <c r="O98" s="209"/>
    </row>
    <row r="99">
      <c r="B99" s="209"/>
      <c r="C99" s="209"/>
      <c r="D99" s="209"/>
      <c r="E99" s="209"/>
      <c r="F99" s="209"/>
      <c r="G99" s="209"/>
      <c r="H99" s="209"/>
      <c r="I99" s="209"/>
      <c r="J99" s="209"/>
      <c r="K99" s="209"/>
      <c r="L99" s="209"/>
      <c r="M99" s="209"/>
      <c r="N99" s="209"/>
      <c r="O99" s="209"/>
    </row>
    <row r="100">
      <c r="B100" s="209"/>
      <c r="C100" s="209"/>
      <c r="D100" s="209"/>
      <c r="E100" s="209"/>
      <c r="F100" s="209"/>
      <c r="G100" s="209"/>
      <c r="H100" s="209"/>
      <c r="I100" s="209"/>
      <c r="J100" s="209"/>
      <c r="K100" s="209"/>
      <c r="L100" s="209"/>
      <c r="M100" s="209"/>
      <c r="N100" s="209"/>
      <c r="O100" s="209"/>
    </row>
    <row r="101">
      <c r="B101" s="209"/>
      <c r="C101" s="209"/>
      <c r="D101" s="209"/>
      <c r="E101" s="209"/>
      <c r="F101" s="209"/>
      <c r="G101" s="209"/>
      <c r="H101" s="209"/>
      <c r="I101" s="209"/>
      <c r="J101" s="209"/>
      <c r="K101" s="209"/>
      <c r="L101" s="209"/>
      <c r="M101" s="209"/>
      <c r="N101" s="209"/>
      <c r="O101" s="209"/>
    </row>
    <row r="102">
      <c r="B102" s="209"/>
      <c r="C102" s="209"/>
      <c r="D102" s="209"/>
      <c r="E102" s="209"/>
      <c r="F102" s="209"/>
      <c r="G102" s="209"/>
      <c r="H102" s="209"/>
      <c r="I102" s="209"/>
      <c r="J102" s="209"/>
      <c r="K102" s="209"/>
      <c r="L102" s="209"/>
      <c r="M102" s="209"/>
      <c r="N102" s="209"/>
      <c r="O102" s="209"/>
    </row>
    <row r="103">
      <c r="B103" s="209"/>
      <c r="C103" s="209"/>
      <c r="D103" s="209"/>
      <c r="E103" s="209"/>
      <c r="F103" s="209"/>
      <c r="G103" s="209"/>
      <c r="H103" s="209"/>
      <c r="I103" s="209"/>
      <c r="J103" s="209"/>
      <c r="K103" s="209"/>
      <c r="L103" s="209"/>
      <c r="M103" s="209"/>
      <c r="N103" s="209"/>
      <c r="O103" s="209"/>
    </row>
    <row r="104">
      <c r="B104" s="209"/>
      <c r="C104" s="209"/>
      <c r="D104" s="209"/>
      <c r="E104" s="209"/>
      <c r="F104" s="209"/>
      <c r="G104" s="209"/>
      <c r="H104" s="209"/>
      <c r="I104" s="209"/>
      <c r="J104" s="209"/>
      <c r="K104" s="209"/>
      <c r="L104" s="209"/>
      <c r="M104" s="209"/>
      <c r="N104" s="209"/>
      <c r="O104" s="209"/>
    </row>
    <row r="105">
      <c r="B105" s="209"/>
      <c r="C105" s="209"/>
      <c r="D105" s="209"/>
      <c r="E105" s="209"/>
      <c r="F105" s="209"/>
      <c r="G105" s="209"/>
      <c r="H105" s="209"/>
      <c r="I105" s="209"/>
      <c r="J105" s="209"/>
      <c r="K105" s="209"/>
      <c r="L105" s="209"/>
      <c r="M105" s="209"/>
      <c r="N105" s="209"/>
      <c r="O105" s="209"/>
    </row>
    <row r="106">
      <c r="B106" s="209"/>
      <c r="C106" s="209"/>
      <c r="D106" s="209"/>
      <c r="E106" s="209"/>
      <c r="F106" s="209"/>
      <c r="G106" s="209"/>
      <c r="H106" s="209"/>
      <c r="I106" s="209"/>
      <c r="J106" s="209"/>
      <c r="K106" s="209"/>
      <c r="L106" s="209"/>
      <c r="M106" s="209"/>
      <c r="N106" s="209"/>
      <c r="O106" s="209"/>
    </row>
    <row r="107">
      <c r="B107" s="209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09"/>
      <c r="O107" s="209"/>
    </row>
    <row r="108">
      <c r="B108" s="209"/>
      <c r="C108" s="209"/>
      <c r="D108" s="209"/>
      <c r="E108" s="209"/>
      <c r="F108" s="209"/>
      <c r="G108" s="209"/>
      <c r="H108" s="209"/>
      <c r="I108" s="209"/>
      <c r="J108" s="209"/>
      <c r="K108" s="209"/>
      <c r="L108" s="209"/>
      <c r="M108" s="209"/>
      <c r="N108" s="209"/>
      <c r="O108" s="209"/>
    </row>
    <row r="109">
      <c r="B109" s="209"/>
      <c r="C109" s="209"/>
      <c r="D109" s="209"/>
      <c r="E109" s="209"/>
      <c r="F109" s="209"/>
      <c r="G109" s="209"/>
      <c r="H109" s="209"/>
      <c r="I109" s="209"/>
      <c r="J109" s="209"/>
      <c r="K109" s="209"/>
      <c r="L109" s="209"/>
      <c r="M109" s="209"/>
      <c r="N109" s="209"/>
      <c r="O109" s="209"/>
    </row>
    <row r="110">
      <c r="B110" s="209"/>
      <c r="C110" s="209"/>
      <c r="D110" s="209"/>
      <c r="E110" s="209"/>
      <c r="F110" s="209"/>
      <c r="G110" s="209"/>
      <c r="H110" s="209"/>
      <c r="I110" s="209"/>
      <c r="J110" s="209"/>
      <c r="K110" s="209"/>
      <c r="L110" s="209"/>
      <c r="M110" s="209"/>
      <c r="N110" s="209"/>
      <c r="O110" s="209"/>
    </row>
    <row r="111">
      <c r="B111" s="209"/>
      <c r="C111" s="209"/>
      <c r="D111" s="209"/>
      <c r="E111" s="209"/>
      <c r="F111" s="209"/>
      <c r="G111" s="209"/>
      <c r="H111" s="209"/>
      <c r="I111" s="209"/>
      <c r="J111" s="209"/>
      <c r="K111" s="209"/>
      <c r="L111" s="209"/>
      <c r="M111" s="209"/>
      <c r="N111" s="209"/>
      <c r="O111" s="209"/>
    </row>
    <row r="112">
      <c r="B112" s="209"/>
      <c r="C112" s="209"/>
      <c r="D112" s="209"/>
      <c r="E112" s="209"/>
      <c r="F112" s="209"/>
      <c r="G112" s="209"/>
      <c r="H112" s="209"/>
      <c r="I112" s="209"/>
      <c r="J112" s="209"/>
      <c r="K112" s="209"/>
      <c r="L112" s="209"/>
      <c r="M112" s="209"/>
      <c r="N112" s="209"/>
      <c r="O112" s="209"/>
    </row>
    <row r="113">
      <c r="B113" s="209"/>
      <c r="C113" s="209"/>
      <c r="D113" s="209"/>
      <c r="E113" s="209"/>
      <c r="F113" s="209"/>
      <c r="G113" s="209"/>
      <c r="H113" s="209"/>
      <c r="I113" s="209"/>
      <c r="J113" s="209"/>
      <c r="K113" s="209"/>
      <c r="L113" s="209"/>
      <c r="M113" s="209"/>
      <c r="N113" s="209"/>
      <c r="O113" s="209"/>
    </row>
    <row r="114">
      <c r="B114" s="209"/>
      <c r="C114" s="209"/>
      <c r="D114" s="209"/>
      <c r="E114" s="209"/>
      <c r="F114" s="209"/>
      <c r="G114" s="209"/>
      <c r="H114" s="209"/>
      <c r="I114" s="209"/>
      <c r="J114" s="209"/>
      <c r="K114" s="209"/>
      <c r="L114" s="209"/>
      <c r="M114" s="209"/>
      <c r="N114" s="209"/>
      <c r="O114" s="209"/>
    </row>
    <row r="115">
      <c r="B115" s="209"/>
      <c r="C115" s="209"/>
      <c r="D115" s="209"/>
      <c r="E115" s="209"/>
      <c r="F115" s="209"/>
      <c r="G115" s="209"/>
      <c r="H115" s="209"/>
      <c r="I115" s="209"/>
      <c r="J115" s="209"/>
      <c r="K115" s="209"/>
      <c r="L115" s="209"/>
      <c r="M115" s="209"/>
      <c r="N115" s="209"/>
      <c r="O115" s="209"/>
    </row>
    <row r="116">
      <c r="B116" s="209"/>
      <c r="C116" s="209"/>
      <c r="D116" s="209"/>
      <c r="E116" s="209"/>
      <c r="F116" s="209"/>
      <c r="G116" s="209"/>
      <c r="H116" s="209"/>
      <c r="I116" s="209"/>
      <c r="J116" s="209"/>
      <c r="K116" s="209"/>
      <c r="L116" s="209"/>
      <c r="M116" s="209"/>
      <c r="N116" s="209"/>
      <c r="O116" s="209"/>
    </row>
    <row r="117">
      <c r="B117" s="209"/>
      <c r="C117" s="209"/>
      <c r="D117" s="209"/>
      <c r="E117" s="209"/>
      <c r="F117" s="209"/>
      <c r="G117" s="209"/>
      <c r="H117" s="209"/>
      <c r="I117" s="209"/>
      <c r="J117" s="209"/>
      <c r="K117" s="209"/>
      <c r="L117" s="209"/>
      <c r="M117" s="209"/>
      <c r="N117" s="209"/>
      <c r="O117" s="209"/>
    </row>
    <row r="118">
      <c r="B118" s="209"/>
      <c r="C118" s="209"/>
      <c r="D118" s="209"/>
      <c r="E118" s="209"/>
      <c r="F118" s="209"/>
      <c r="G118" s="209"/>
      <c r="H118" s="209"/>
      <c r="I118" s="209"/>
      <c r="J118" s="209"/>
      <c r="K118" s="209"/>
      <c r="L118" s="209"/>
      <c r="M118" s="209"/>
      <c r="N118" s="209"/>
      <c r="O118" s="209"/>
    </row>
    <row r="119">
      <c r="B119" s="209"/>
      <c r="C119" s="209"/>
      <c r="D119" s="209"/>
      <c r="E119" s="209"/>
      <c r="F119" s="209"/>
      <c r="G119" s="209"/>
      <c r="H119" s="209"/>
      <c r="I119" s="209"/>
      <c r="J119" s="209"/>
      <c r="K119" s="209"/>
      <c r="L119" s="209"/>
      <c r="M119" s="209"/>
      <c r="N119" s="209"/>
      <c r="O119" s="209"/>
    </row>
    <row r="120">
      <c r="B120" s="209"/>
      <c r="C120" s="209"/>
      <c r="D120" s="209"/>
      <c r="E120" s="209"/>
      <c r="F120" s="209"/>
      <c r="G120" s="209"/>
      <c r="H120" s="209"/>
      <c r="I120" s="209"/>
      <c r="J120" s="209"/>
      <c r="K120" s="209"/>
      <c r="L120" s="209"/>
      <c r="M120" s="209"/>
      <c r="N120" s="209"/>
      <c r="O120" s="209"/>
    </row>
    <row r="121">
      <c r="B121" s="209"/>
      <c r="C121" s="209"/>
      <c r="D121" s="209"/>
      <c r="E121" s="209"/>
      <c r="F121" s="209"/>
      <c r="G121" s="209"/>
      <c r="H121" s="209"/>
      <c r="I121" s="209"/>
      <c r="J121" s="209"/>
      <c r="K121" s="209"/>
      <c r="L121" s="209"/>
      <c r="M121" s="209"/>
      <c r="N121" s="209"/>
      <c r="O121" s="209"/>
    </row>
    <row r="122">
      <c r="B122" s="209"/>
      <c r="C122" s="209"/>
      <c r="D122" s="209"/>
      <c r="E122" s="209"/>
      <c r="F122" s="209"/>
      <c r="G122" s="209"/>
      <c r="H122" s="209"/>
      <c r="I122" s="209"/>
      <c r="J122" s="209"/>
      <c r="K122" s="209"/>
      <c r="L122" s="209"/>
      <c r="M122" s="209"/>
      <c r="N122" s="209"/>
      <c r="O122" s="209"/>
    </row>
    <row r="123">
      <c r="B123" s="209"/>
      <c r="C123" s="209"/>
      <c r="D123" s="209"/>
      <c r="E123" s="209"/>
      <c r="F123" s="209"/>
      <c r="G123" s="209"/>
      <c r="H123" s="209"/>
      <c r="I123" s="209"/>
      <c r="J123" s="209"/>
      <c r="K123" s="209"/>
      <c r="L123" s="209"/>
      <c r="M123" s="209"/>
      <c r="N123" s="209"/>
      <c r="O123" s="209"/>
    </row>
    <row r="124">
      <c r="B124" s="209"/>
      <c r="C124" s="209"/>
      <c r="D124" s="209"/>
      <c r="E124" s="209"/>
      <c r="F124" s="209"/>
      <c r="G124" s="209"/>
      <c r="H124" s="209"/>
      <c r="I124" s="209"/>
      <c r="J124" s="209"/>
      <c r="K124" s="209"/>
      <c r="L124" s="209"/>
      <c r="M124" s="209"/>
      <c r="N124" s="209"/>
      <c r="O124" s="209"/>
    </row>
    <row r="125">
      <c r="B125" s="209"/>
      <c r="C125" s="209"/>
      <c r="D125" s="209"/>
      <c r="E125" s="209"/>
      <c r="F125" s="209"/>
      <c r="G125" s="209"/>
      <c r="H125" s="209"/>
      <c r="I125" s="209"/>
      <c r="J125" s="209"/>
      <c r="K125" s="209"/>
      <c r="L125" s="209"/>
      <c r="M125" s="209"/>
      <c r="N125" s="209"/>
      <c r="O125" s="209"/>
    </row>
    <row r="126">
      <c r="B126" s="209"/>
      <c r="C126" s="209"/>
      <c r="D126" s="209"/>
      <c r="E126" s="209"/>
      <c r="F126" s="209"/>
      <c r="G126" s="209"/>
      <c r="H126" s="209"/>
      <c r="I126" s="209"/>
      <c r="J126" s="209"/>
      <c r="K126" s="209"/>
      <c r="L126" s="209"/>
      <c r="M126" s="209"/>
      <c r="N126" s="209"/>
      <c r="O126" s="209"/>
    </row>
    <row r="127">
      <c r="B127" s="209"/>
      <c r="C127" s="209"/>
      <c r="D127" s="209"/>
      <c r="E127" s="209"/>
      <c r="F127" s="209"/>
      <c r="G127" s="209"/>
      <c r="H127" s="209"/>
      <c r="I127" s="209"/>
      <c r="J127" s="209"/>
      <c r="K127" s="209"/>
      <c r="L127" s="209"/>
      <c r="M127" s="209"/>
      <c r="N127" s="209"/>
      <c r="O127" s="209"/>
    </row>
    <row r="128">
      <c r="B128" s="209"/>
      <c r="C128" s="209"/>
      <c r="D128" s="209"/>
      <c r="E128" s="209"/>
      <c r="F128" s="209"/>
      <c r="G128" s="209"/>
      <c r="H128" s="209"/>
      <c r="I128" s="209"/>
      <c r="J128" s="209"/>
      <c r="K128" s="209"/>
      <c r="L128" s="209"/>
      <c r="M128" s="209"/>
      <c r="N128" s="209"/>
      <c r="O128" s="209"/>
    </row>
    <row r="129">
      <c r="B129" s="209"/>
      <c r="C129" s="209"/>
      <c r="D129" s="209"/>
      <c r="E129" s="209"/>
      <c r="F129" s="209"/>
      <c r="G129" s="209"/>
      <c r="H129" s="209"/>
      <c r="I129" s="209"/>
      <c r="J129" s="209"/>
      <c r="K129" s="209"/>
      <c r="L129" s="209"/>
      <c r="M129" s="209"/>
      <c r="N129" s="209"/>
      <c r="O129" s="209"/>
    </row>
    <row r="130">
      <c r="B130" s="209"/>
      <c r="C130" s="209"/>
      <c r="D130" s="209"/>
      <c r="E130" s="209"/>
      <c r="F130" s="209"/>
      <c r="G130" s="209"/>
      <c r="H130" s="209"/>
      <c r="I130" s="209"/>
      <c r="J130" s="209"/>
      <c r="K130" s="209"/>
      <c r="L130" s="209"/>
      <c r="M130" s="209"/>
      <c r="N130" s="209"/>
      <c r="O130" s="209"/>
    </row>
    <row r="131">
      <c r="B131" s="209"/>
      <c r="C131" s="209"/>
      <c r="D131" s="209"/>
      <c r="E131" s="209"/>
      <c r="F131" s="209"/>
      <c r="G131" s="209"/>
      <c r="H131" s="209"/>
      <c r="I131" s="209"/>
      <c r="J131" s="209"/>
      <c r="K131" s="209"/>
      <c r="L131" s="209"/>
      <c r="M131" s="209"/>
      <c r="N131" s="209"/>
      <c r="O131" s="209"/>
    </row>
    <row r="132">
      <c r="B132" s="209"/>
      <c r="C132" s="209"/>
      <c r="D132" s="209"/>
      <c r="E132" s="209"/>
      <c r="F132" s="209"/>
      <c r="G132" s="209"/>
      <c r="H132" s="209"/>
      <c r="I132" s="209"/>
      <c r="J132" s="209"/>
      <c r="K132" s="209"/>
      <c r="L132" s="209"/>
      <c r="M132" s="209"/>
      <c r="N132" s="209"/>
      <c r="O132" s="209"/>
    </row>
    <row r="133">
      <c r="B133" s="209"/>
      <c r="C133" s="209"/>
      <c r="D133" s="209"/>
      <c r="E133" s="209"/>
      <c r="F133" s="209"/>
      <c r="G133" s="209"/>
      <c r="H133" s="209"/>
      <c r="I133" s="209"/>
      <c r="J133" s="209"/>
      <c r="K133" s="209"/>
      <c r="L133" s="209"/>
      <c r="M133" s="209"/>
      <c r="N133" s="209"/>
      <c r="O133" s="209"/>
    </row>
    <row r="134">
      <c r="B134" s="209"/>
      <c r="C134" s="209"/>
      <c r="D134" s="209"/>
      <c r="E134" s="209"/>
      <c r="F134" s="209"/>
      <c r="G134" s="209"/>
      <c r="H134" s="209"/>
      <c r="I134" s="209"/>
      <c r="J134" s="209"/>
      <c r="K134" s="209"/>
      <c r="L134" s="209"/>
      <c r="M134" s="209"/>
      <c r="N134" s="209"/>
      <c r="O134" s="209"/>
    </row>
    <row r="135">
      <c r="B135" s="209"/>
      <c r="C135" s="209"/>
      <c r="D135" s="209"/>
      <c r="E135" s="209"/>
      <c r="F135" s="209"/>
      <c r="G135" s="209"/>
      <c r="H135" s="209"/>
      <c r="I135" s="209"/>
      <c r="J135" s="209"/>
      <c r="K135" s="209"/>
      <c r="L135" s="209"/>
      <c r="M135" s="209"/>
      <c r="N135" s="209"/>
      <c r="O135" s="209"/>
    </row>
    <row r="136">
      <c r="B136" s="209"/>
      <c r="C136" s="209"/>
      <c r="D136" s="209"/>
      <c r="E136" s="209"/>
      <c r="F136" s="209"/>
      <c r="G136" s="209"/>
      <c r="H136" s="209"/>
      <c r="I136" s="209"/>
      <c r="J136" s="209"/>
      <c r="K136" s="209"/>
      <c r="L136" s="209"/>
      <c r="M136" s="209"/>
      <c r="N136" s="209"/>
      <c r="O136" s="209"/>
    </row>
    <row r="137">
      <c r="B137" s="209"/>
      <c r="C137" s="209"/>
      <c r="D137" s="209"/>
      <c r="E137" s="209"/>
      <c r="F137" s="209"/>
      <c r="G137" s="209"/>
      <c r="H137" s="209"/>
      <c r="I137" s="209"/>
      <c r="J137" s="209"/>
      <c r="K137" s="209"/>
      <c r="L137" s="209"/>
      <c r="M137" s="209"/>
      <c r="N137" s="209"/>
      <c r="O137" s="209"/>
    </row>
    <row r="138">
      <c r="B138" s="209"/>
      <c r="C138" s="209"/>
      <c r="D138" s="209"/>
      <c r="E138" s="209"/>
      <c r="F138" s="209"/>
      <c r="G138" s="209"/>
      <c r="H138" s="209"/>
      <c r="I138" s="209"/>
      <c r="J138" s="209"/>
      <c r="K138" s="209"/>
      <c r="L138" s="209"/>
      <c r="M138" s="209"/>
      <c r="N138" s="209"/>
      <c r="O138" s="209"/>
    </row>
    <row r="139">
      <c r="B139" s="209"/>
      <c r="C139" s="209"/>
      <c r="D139" s="209"/>
      <c r="E139" s="209"/>
      <c r="F139" s="209"/>
      <c r="G139" s="209"/>
      <c r="H139" s="209"/>
      <c r="I139" s="209"/>
      <c r="J139" s="209"/>
      <c r="K139" s="209"/>
      <c r="L139" s="209"/>
      <c r="M139" s="209"/>
      <c r="N139" s="209"/>
      <c r="O139" s="209"/>
    </row>
    <row r="140">
      <c r="B140" s="209"/>
      <c r="C140" s="209"/>
      <c r="D140" s="209"/>
      <c r="E140" s="209"/>
      <c r="F140" s="209"/>
      <c r="G140" s="209"/>
      <c r="H140" s="209"/>
      <c r="I140" s="209"/>
      <c r="J140" s="209"/>
      <c r="K140" s="209"/>
      <c r="L140" s="209"/>
      <c r="M140" s="209"/>
      <c r="N140" s="209"/>
      <c r="O140" s="209"/>
    </row>
    <row r="141">
      <c r="B141" s="209"/>
      <c r="C141" s="209"/>
      <c r="D141" s="209"/>
      <c r="E141" s="209"/>
      <c r="F141" s="209"/>
      <c r="G141" s="209"/>
      <c r="H141" s="209"/>
      <c r="I141" s="209"/>
      <c r="J141" s="209"/>
      <c r="K141" s="209"/>
      <c r="L141" s="209"/>
      <c r="M141" s="209"/>
      <c r="N141" s="209"/>
      <c r="O141" s="209"/>
    </row>
    <row r="142">
      <c r="B142" s="209"/>
      <c r="C142" s="209"/>
      <c r="D142" s="209"/>
      <c r="E142" s="209"/>
      <c r="F142" s="209"/>
      <c r="G142" s="209"/>
      <c r="H142" s="209"/>
      <c r="I142" s="209"/>
      <c r="J142" s="209"/>
      <c r="K142" s="209"/>
      <c r="L142" s="209"/>
      <c r="M142" s="209"/>
      <c r="N142" s="209"/>
      <c r="O142" s="209"/>
    </row>
    <row r="143">
      <c r="B143" s="209"/>
      <c r="C143" s="209"/>
      <c r="D143" s="209"/>
      <c r="E143" s="209"/>
      <c r="F143" s="209"/>
      <c r="G143" s="209"/>
      <c r="H143" s="209"/>
      <c r="I143" s="209"/>
      <c r="J143" s="209"/>
      <c r="K143" s="209"/>
      <c r="L143" s="209"/>
      <c r="M143" s="209"/>
      <c r="N143" s="209"/>
      <c r="O143" s="209"/>
    </row>
    <row r="144">
      <c r="B144" s="209"/>
      <c r="C144" s="209"/>
      <c r="D144" s="209"/>
      <c r="E144" s="209"/>
      <c r="F144" s="209"/>
      <c r="G144" s="209"/>
      <c r="H144" s="209"/>
      <c r="I144" s="209"/>
      <c r="J144" s="209"/>
      <c r="K144" s="209"/>
      <c r="L144" s="209"/>
      <c r="M144" s="209"/>
      <c r="N144" s="209"/>
      <c r="O144" s="209"/>
    </row>
    <row r="145">
      <c r="B145" s="209"/>
      <c r="C145" s="209"/>
      <c r="D145" s="209"/>
      <c r="E145" s="209"/>
      <c r="F145" s="209"/>
      <c r="G145" s="209"/>
      <c r="H145" s="209"/>
      <c r="I145" s="209"/>
      <c r="J145" s="209"/>
      <c r="K145" s="209"/>
      <c r="L145" s="209"/>
      <c r="M145" s="209"/>
      <c r="N145" s="209"/>
      <c r="O145" s="209"/>
    </row>
    <row r="146">
      <c r="B146" s="209"/>
      <c r="C146" s="209"/>
      <c r="D146" s="209"/>
      <c r="E146" s="209"/>
      <c r="F146" s="209"/>
      <c r="G146" s="209"/>
      <c r="H146" s="209"/>
      <c r="I146" s="209"/>
      <c r="J146" s="209"/>
      <c r="K146" s="209"/>
      <c r="L146" s="209"/>
      <c r="M146" s="209"/>
      <c r="N146" s="209"/>
      <c r="O146" s="209"/>
    </row>
    <row r="147">
      <c r="B147" s="209"/>
      <c r="C147" s="209"/>
      <c r="D147" s="209"/>
      <c r="E147" s="209"/>
      <c r="F147" s="209"/>
      <c r="G147" s="209"/>
      <c r="H147" s="209"/>
      <c r="I147" s="209"/>
      <c r="J147" s="209"/>
      <c r="K147" s="209"/>
      <c r="L147" s="209"/>
      <c r="M147" s="209"/>
      <c r="N147" s="209"/>
      <c r="O147" s="209"/>
    </row>
    <row r="148">
      <c r="B148" s="209"/>
      <c r="C148" s="209"/>
      <c r="D148" s="209"/>
      <c r="E148" s="209"/>
      <c r="F148" s="209"/>
      <c r="G148" s="209"/>
      <c r="H148" s="209"/>
      <c r="I148" s="209"/>
      <c r="J148" s="209"/>
      <c r="K148" s="209"/>
      <c r="L148" s="209"/>
      <c r="M148" s="209"/>
      <c r="N148" s="209"/>
      <c r="O148" s="209"/>
    </row>
    <row r="149">
      <c r="B149" s="209"/>
      <c r="C149" s="209"/>
      <c r="D149" s="209"/>
      <c r="E149" s="209"/>
      <c r="F149" s="209"/>
      <c r="G149" s="209"/>
      <c r="H149" s="209"/>
      <c r="I149" s="209"/>
      <c r="J149" s="209"/>
      <c r="K149" s="209"/>
      <c r="L149" s="209"/>
      <c r="M149" s="209"/>
      <c r="N149" s="209"/>
      <c r="O149" s="209"/>
    </row>
    <row r="150">
      <c r="B150" s="209"/>
      <c r="C150" s="209"/>
      <c r="D150" s="209"/>
      <c r="E150" s="209"/>
      <c r="F150" s="209"/>
      <c r="G150" s="209"/>
      <c r="H150" s="209"/>
      <c r="I150" s="209"/>
      <c r="J150" s="209"/>
      <c r="K150" s="209"/>
      <c r="L150" s="209"/>
      <c r="M150" s="209"/>
      <c r="N150" s="209"/>
      <c r="O150" s="209"/>
    </row>
    <row r="151">
      <c r="B151" s="209"/>
      <c r="C151" s="209"/>
      <c r="D151" s="209"/>
      <c r="E151" s="209"/>
      <c r="F151" s="209"/>
      <c r="G151" s="209"/>
      <c r="H151" s="209"/>
      <c r="I151" s="209"/>
      <c r="J151" s="209"/>
      <c r="K151" s="209"/>
      <c r="L151" s="209"/>
      <c r="M151" s="209"/>
      <c r="N151" s="209"/>
      <c r="O151" s="209"/>
    </row>
    <row r="152">
      <c r="B152" s="209"/>
      <c r="C152" s="209"/>
      <c r="D152" s="209"/>
      <c r="E152" s="209"/>
      <c r="F152" s="209"/>
      <c r="G152" s="209"/>
      <c r="H152" s="209"/>
      <c r="I152" s="209"/>
      <c r="J152" s="209"/>
      <c r="K152" s="209"/>
      <c r="L152" s="209"/>
      <c r="M152" s="209"/>
      <c r="N152" s="209"/>
      <c r="O152" s="209"/>
    </row>
    <row r="153">
      <c r="B153" s="209"/>
      <c r="C153" s="209"/>
      <c r="D153" s="209"/>
      <c r="E153" s="209"/>
      <c r="F153" s="209"/>
      <c r="G153" s="209"/>
      <c r="H153" s="209"/>
      <c r="I153" s="209"/>
      <c r="J153" s="209"/>
      <c r="K153" s="209"/>
      <c r="L153" s="209"/>
      <c r="M153" s="209"/>
      <c r="N153" s="209"/>
      <c r="O153" s="209"/>
    </row>
    <row r="154">
      <c r="B154" s="209"/>
      <c r="C154" s="209"/>
      <c r="D154" s="209"/>
      <c r="E154" s="209"/>
      <c r="F154" s="209"/>
      <c r="G154" s="209"/>
      <c r="H154" s="209"/>
      <c r="I154" s="209"/>
      <c r="J154" s="209"/>
      <c r="K154" s="209"/>
      <c r="L154" s="209"/>
      <c r="M154" s="209"/>
      <c r="N154" s="209"/>
      <c r="O154" s="209"/>
    </row>
    <row r="155">
      <c r="B155" s="209"/>
      <c r="C155" s="209"/>
      <c r="D155" s="209"/>
      <c r="E155" s="209"/>
      <c r="F155" s="209"/>
      <c r="G155" s="209"/>
      <c r="H155" s="209"/>
      <c r="I155" s="209"/>
      <c r="J155" s="209"/>
      <c r="K155" s="209"/>
      <c r="L155" s="209"/>
      <c r="M155" s="209"/>
      <c r="N155" s="209"/>
      <c r="O155" s="209"/>
    </row>
    <row r="156">
      <c r="B156" s="209"/>
      <c r="C156" s="209"/>
      <c r="D156" s="209"/>
      <c r="E156" s="209"/>
      <c r="F156" s="209"/>
      <c r="G156" s="209"/>
      <c r="H156" s="209"/>
      <c r="I156" s="209"/>
      <c r="J156" s="209"/>
      <c r="K156" s="209"/>
      <c r="L156" s="209"/>
      <c r="M156" s="209"/>
      <c r="N156" s="209"/>
      <c r="O156" s="209"/>
    </row>
    <row r="157">
      <c r="B157" s="209"/>
      <c r="C157" s="209"/>
      <c r="D157" s="209"/>
      <c r="E157" s="209"/>
      <c r="F157" s="209"/>
      <c r="G157" s="209"/>
      <c r="H157" s="209"/>
      <c r="I157" s="209"/>
      <c r="J157" s="209"/>
      <c r="K157" s="209"/>
      <c r="L157" s="209"/>
      <c r="M157" s="209"/>
      <c r="N157" s="209"/>
      <c r="O157" s="209"/>
    </row>
    <row r="158">
      <c r="B158" s="209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09"/>
      <c r="O158" s="209"/>
    </row>
    <row r="159">
      <c r="B159" s="209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09"/>
      <c r="O159" s="209"/>
    </row>
    <row r="160">
      <c r="B160" s="209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09"/>
      <c r="O160" s="209"/>
    </row>
    <row r="161">
      <c r="B161" s="209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09"/>
      <c r="O161" s="209"/>
    </row>
    <row r="162">
      <c r="B162" s="209"/>
      <c r="C162" s="209"/>
      <c r="D162" s="209"/>
      <c r="E162" s="209"/>
      <c r="F162" s="209"/>
      <c r="G162" s="209"/>
      <c r="H162" s="209"/>
      <c r="I162" s="209"/>
      <c r="J162" s="209"/>
      <c r="K162" s="209"/>
      <c r="L162" s="209"/>
      <c r="M162" s="209"/>
      <c r="N162" s="209"/>
      <c r="O162" s="209"/>
    </row>
    <row r="163">
      <c r="B163" s="209"/>
      <c r="C163" s="209"/>
      <c r="D163" s="209"/>
      <c r="E163" s="209"/>
      <c r="F163" s="209"/>
      <c r="G163" s="209"/>
      <c r="H163" s="209"/>
      <c r="I163" s="209"/>
      <c r="J163" s="209"/>
      <c r="K163" s="209"/>
      <c r="L163" s="209"/>
      <c r="M163" s="209"/>
      <c r="N163" s="209"/>
      <c r="O163" s="209"/>
    </row>
    <row r="164">
      <c r="B164" s="209"/>
      <c r="C164" s="209"/>
      <c r="D164" s="209"/>
      <c r="E164" s="209"/>
      <c r="F164" s="209"/>
      <c r="G164" s="209"/>
      <c r="H164" s="209"/>
      <c r="I164" s="209"/>
      <c r="J164" s="209"/>
      <c r="K164" s="209"/>
      <c r="L164" s="209"/>
      <c r="M164" s="209"/>
      <c r="N164" s="209"/>
      <c r="O164" s="209"/>
    </row>
    <row r="165">
      <c r="B165" s="209"/>
      <c r="C165" s="209"/>
      <c r="D165" s="209"/>
      <c r="E165" s="209"/>
      <c r="F165" s="209"/>
      <c r="G165" s="209"/>
      <c r="H165" s="209"/>
      <c r="I165" s="209"/>
      <c r="J165" s="209"/>
      <c r="K165" s="209"/>
      <c r="L165" s="209"/>
      <c r="M165" s="209"/>
      <c r="N165" s="209"/>
      <c r="O165" s="209"/>
    </row>
    <row r="166">
      <c r="B166" s="209"/>
      <c r="C166" s="209"/>
      <c r="D166" s="209"/>
      <c r="E166" s="209"/>
      <c r="F166" s="209"/>
      <c r="G166" s="209"/>
      <c r="H166" s="209"/>
      <c r="I166" s="209"/>
      <c r="J166" s="209"/>
      <c r="K166" s="209"/>
      <c r="L166" s="209"/>
      <c r="M166" s="209"/>
      <c r="N166" s="209"/>
      <c r="O166" s="209"/>
    </row>
    <row r="167">
      <c r="B167" s="209"/>
      <c r="C167" s="209"/>
      <c r="D167" s="209"/>
      <c r="E167" s="209"/>
      <c r="F167" s="209"/>
      <c r="G167" s="209"/>
      <c r="H167" s="209"/>
      <c r="I167" s="209"/>
      <c r="J167" s="209"/>
      <c r="K167" s="209"/>
      <c r="L167" s="209"/>
      <c r="M167" s="209"/>
      <c r="N167" s="209"/>
      <c r="O167" s="209"/>
    </row>
    <row r="168">
      <c r="B168" s="209"/>
      <c r="C168" s="209"/>
      <c r="D168" s="209"/>
      <c r="E168" s="209"/>
      <c r="F168" s="209"/>
      <c r="G168" s="209"/>
      <c r="H168" s="209"/>
      <c r="I168" s="209"/>
      <c r="J168" s="209"/>
      <c r="K168" s="209"/>
      <c r="L168" s="209"/>
      <c r="M168" s="209"/>
      <c r="N168" s="209"/>
      <c r="O168" s="209"/>
    </row>
    <row r="169">
      <c r="B169" s="209"/>
      <c r="C169" s="209"/>
      <c r="D169" s="209"/>
      <c r="E169" s="209"/>
      <c r="F169" s="209"/>
      <c r="G169" s="209"/>
      <c r="H169" s="209"/>
      <c r="I169" s="209"/>
      <c r="J169" s="209"/>
      <c r="K169" s="209"/>
      <c r="L169" s="209"/>
      <c r="M169" s="209"/>
      <c r="N169" s="209"/>
      <c r="O169" s="209"/>
    </row>
    <row r="170">
      <c r="B170" s="209"/>
      <c r="C170" s="209"/>
      <c r="D170" s="209"/>
      <c r="E170" s="209"/>
      <c r="F170" s="209"/>
      <c r="G170" s="209"/>
      <c r="H170" s="209"/>
      <c r="I170" s="209"/>
      <c r="J170" s="209"/>
      <c r="K170" s="209"/>
      <c r="L170" s="209"/>
      <c r="M170" s="209"/>
      <c r="N170" s="209"/>
      <c r="O170" s="209"/>
    </row>
    <row r="171">
      <c r="B171" s="209"/>
      <c r="C171" s="209"/>
      <c r="D171" s="209"/>
      <c r="E171" s="209"/>
      <c r="F171" s="209"/>
      <c r="G171" s="209"/>
      <c r="H171" s="209"/>
      <c r="I171" s="209"/>
      <c r="J171" s="209"/>
      <c r="K171" s="209"/>
      <c r="L171" s="209"/>
      <c r="M171" s="209"/>
      <c r="N171" s="209"/>
      <c r="O171" s="209"/>
    </row>
    <row r="172">
      <c r="B172" s="209"/>
      <c r="C172" s="209"/>
      <c r="D172" s="209"/>
      <c r="E172" s="209"/>
      <c r="F172" s="209"/>
      <c r="G172" s="209"/>
      <c r="H172" s="209"/>
      <c r="I172" s="209"/>
      <c r="J172" s="209"/>
      <c r="K172" s="209"/>
      <c r="L172" s="209"/>
      <c r="M172" s="209"/>
      <c r="N172" s="209"/>
      <c r="O172" s="209"/>
    </row>
    <row r="173">
      <c r="B173" s="209"/>
      <c r="C173" s="209"/>
      <c r="D173" s="209"/>
      <c r="E173" s="209"/>
      <c r="F173" s="209"/>
      <c r="G173" s="209"/>
      <c r="H173" s="209"/>
      <c r="I173" s="209"/>
      <c r="J173" s="209"/>
      <c r="K173" s="209"/>
      <c r="L173" s="209"/>
      <c r="M173" s="209"/>
      <c r="N173" s="209"/>
      <c r="O173" s="209"/>
    </row>
    <row r="174">
      <c r="B174" s="209"/>
      <c r="C174" s="209"/>
      <c r="D174" s="209"/>
      <c r="E174" s="209"/>
      <c r="F174" s="209"/>
      <c r="G174" s="209"/>
      <c r="H174" s="209"/>
      <c r="I174" s="209"/>
      <c r="J174" s="209"/>
      <c r="K174" s="209"/>
      <c r="L174" s="209"/>
      <c r="M174" s="209"/>
      <c r="N174" s="209"/>
      <c r="O174" s="209"/>
    </row>
    <row r="175">
      <c r="B175" s="209"/>
      <c r="C175" s="209"/>
      <c r="D175" s="209"/>
      <c r="E175" s="209"/>
      <c r="F175" s="209"/>
      <c r="G175" s="209"/>
      <c r="H175" s="209"/>
      <c r="I175" s="209"/>
      <c r="J175" s="209"/>
      <c r="K175" s="209"/>
      <c r="L175" s="209"/>
      <c r="M175" s="209"/>
      <c r="N175" s="209"/>
      <c r="O175" s="209"/>
    </row>
    <row r="176">
      <c r="B176" s="209"/>
      <c r="C176" s="209"/>
      <c r="D176" s="209"/>
      <c r="E176" s="209"/>
      <c r="F176" s="209"/>
      <c r="G176" s="209"/>
      <c r="H176" s="209"/>
      <c r="I176" s="209"/>
      <c r="J176" s="209"/>
      <c r="K176" s="209"/>
      <c r="L176" s="209"/>
      <c r="M176" s="209"/>
      <c r="N176" s="209"/>
      <c r="O176" s="209"/>
    </row>
    <row r="177">
      <c r="B177" s="209"/>
      <c r="C177" s="209"/>
      <c r="D177" s="209"/>
      <c r="E177" s="209"/>
      <c r="F177" s="209"/>
      <c r="G177" s="209"/>
      <c r="H177" s="209"/>
      <c r="I177" s="209"/>
      <c r="J177" s="209"/>
      <c r="K177" s="209"/>
      <c r="L177" s="209"/>
      <c r="M177" s="209"/>
      <c r="N177" s="209"/>
      <c r="O177" s="209"/>
    </row>
    <row r="178">
      <c r="B178" s="209"/>
      <c r="C178" s="209"/>
      <c r="D178" s="209"/>
      <c r="E178" s="209"/>
      <c r="F178" s="209"/>
      <c r="G178" s="209"/>
      <c r="H178" s="209"/>
      <c r="I178" s="209"/>
      <c r="J178" s="209"/>
      <c r="K178" s="209"/>
      <c r="L178" s="209"/>
      <c r="M178" s="209"/>
      <c r="N178" s="209"/>
      <c r="O178" s="209"/>
    </row>
    <row r="179"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</row>
    <row r="180"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</row>
    <row r="181"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</row>
    <row r="182"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</row>
    <row r="183"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</row>
    <row r="184"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</row>
    <row r="185"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</row>
    <row r="186"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</row>
    <row r="187"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</row>
    <row r="188"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</row>
    <row r="189"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</row>
    <row r="190"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</row>
    <row r="191"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</row>
    <row r="192"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</row>
    <row r="193"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</row>
    <row r="194"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</row>
    <row r="195"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</row>
    <row r="196"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</row>
    <row r="197"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</row>
    <row r="198"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</row>
    <row r="199"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</row>
    <row r="200"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</row>
    <row r="201"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</row>
    <row r="202"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</row>
    <row r="203"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</row>
    <row r="204"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</row>
    <row r="205"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</row>
    <row r="206"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</row>
    <row r="207"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</row>
    <row r="208"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</row>
    <row r="209"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</row>
    <row r="210"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</row>
    <row r="211"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</row>
    <row r="212"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</row>
    <row r="213"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</row>
    <row r="214"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</row>
    <row r="215"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</row>
    <row r="216"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</row>
    <row r="217"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</row>
    <row r="218"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</row>
    <row r="219"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</row>
    <row r="220"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</row>
    <row r="221"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</row>
    <row r="222"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</row>
    <row r="223"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</row>
    <row r="224"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</row>
    <row r="225"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</row>
    <row r="226"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</row>
    <row r="227"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</row>
    <row r="228"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</row>
    <row r="229"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</row>
    <row r="230"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</row>
    <row r="231"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</row>
    <row r="232"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</row>
    <row r="233"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</row>
    <row r="234"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</row>
    <row r="235"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</row>
    <row r="236"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</row>
    <row r="237"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</row>
    <row r="238"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</row>
    <row r="239"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</row>
    <row r="240"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</row>
    <row r="241"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</row>
    <row r="242"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</row>
    <row r="243"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</row>
    <row r="244"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</row>
    <row r="245"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</row>
    <row r="246"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</row>
    <row r="247"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</row>
    <row r="248"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</row>
    <row r="249"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</row>
    <row r="250"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</row>
    <row r="251"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</row>
    <row r="252"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</row>
    <row r="253"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</row>
    <row r="254"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</row>
    <row r="255"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</row>
    <row r="256"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</row>
    <row r="257"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</row>
    <row r="258"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</row>
    <row r="259"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</row>
    <row r="260"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</row>
    <row r="261"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</row>
    <row r="262"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</row>
    <row r="263"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</row>
    <row r="264"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</row>
    <row r="265"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</row>
    <row r="266"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</row>
    <row r="267"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</row>
    <row r="268"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</row>
    <row r="269"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</row>
    <row r="270"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</row>
    <row r="271"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</row>
    <row r="272"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</row>
    <row r="273"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</row>
    <row r="274"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</row>
    <row r="275"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</row>
    <row r="276"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</row>
    <row r="277"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</row>
    <row r="278"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</row>
    <row r="279"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</row>
    <row r="280"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</row>
    <row r="281"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</row>
    <row r="282"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</row>
    <row r="283"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</row>
    <row r="284"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</row>
    <row r="285"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</row>
    <row r="286"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</row>
    <row r="287"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</row>
    <row r="288"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</row>
    <row r="289"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</row>
    <row r="290"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</row>
    <row r="291"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</row>
    <row r="292"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</row>
    <row r="293"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</row>
    <row r="294"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</row>
    <row r="295"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</row>
    <row r="296"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</row>
    <row r="297"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</row>
    <row r="298"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</row>
    <row r="299"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</row>
    <row r="300"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</row>
    <row r="301"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</row>
    <row r="302">
      <c r="B302" s="209"/>
      <c r="C302" s="209"/>
      <c r="D302" s="209"/>
      <c r="E302" s="209"/>
      <c r="F302" s="209"/>
      <c r="G302" s="209"/>
      <c r="H302" s="209"/>
      <c r="I302" s="209"/>
      <c r="J302" s="209"/>
      <c r="K302" s="209"/>
      <c r="L302" s="209"/>
      <c r="M302" s="209"/>
      <c r="N302" s="209"/>
      <c r="O302" s="209"/>
    </row>
    <row r="303">
      <c r="B303" s="209"/>
      <c r="C303" s="209"/>
      <c r="D303" s="209"/>
      <c r="E303" s="209"/>
      <c r="F303" s="209"/>
      <c r="G303" s="209"/>
      <c r="H303" s="209"/>
      <c r="I303" s="209"/>
      <c r="J303" s="209"/>
      <c r="K303" s="209"/>
      <c r="L303" s="209"/>
      <c r="M303" s="209"/>
      <c r="N303" s="209"/>
      <c r="O303" s="209"/>
    </row>
    <row r="304">
      <c r="B304" s="209"/>
      <c r="C304" s="209"/>
      <c r="D304" s="209"/>
      <c r="E304" s="209"/>
      <c r="F304" s="209"/>
      <c r="G304" s="209"/>
      <c r="H304" s="209"/>
      <c r="I304" s="209"/>
      <c r="J304" s="209"/>
      <c r="K304" s="209"/>
      <c r="L304" s="209"/>
      <c r="M304" s="209"/>
      <c r="N304" s="209"/>
      <c r="O304" s="209"/>
    </row>
    <row r="305">
      <c r="B305" s="209"/>
      <c r="C305" s="209"/>
      <c r="D305" s="209"/>
      <c r="E305" s="209"/>
      <c r="F305" s="209"/>
      <c r="G305" s="209"/>
      <c r="H305" s="209"/>
      <c r="I305" s="209"/>
      <c r="J305" s="209"/>
      <c r="K305" s="209"/>
      <c r="L305" s="209"/>
      <c r="M305" s="209"/>
      <c r="N305" s="209"/>
      <c r="O305" s="209"/>
    </row>
    <row r="306">
      <c r="B306" s="209"/>
      <c r="C306" s="209"/>
      <c r="D306" s="209"/>
      <c r="E306" s="209"/>
      <c r="F306" s="209"/>
      <c r="G306" s="209"/>
      <c r="H306" s="209"/>
      <c r="I306" s="209"/>
      <c r="J306" s="209"/>
      <c r="K306" s="209"/>
      <c r="L306" s="209"/>
      <c r="M306" s="209"/>
      <c r="N306" s="209"/>
      <c r="O306" s="209"/>
    </row>
    <row r="307">
      <c r="B307" s="209"/>
      <c r="C307" s="209"/>
      <c r="D307" s="209"/>
      <c r="E307" s="209"/>
      <c r="F307" s="209"/>
      <c r="G307" s="209"/>
      <c r="H307" s="209"/>
      <c r="I307" s="209"/>
      <c r="J307" s="209"/>
      <c r="K307" s="209"/>
      <c r="L307" s="209"/>
      <c r="M307" s="209"/>
      <c r="N307" s="209"/>
      <c r="O307" s="209"/>
    </row>
    <row r="308">
      <c r="B308" s="209"/>
      <c r="C308" s="209"/>
      <c r="D308" s="209"/>
      <c r="E308" s="209"/>
      <c r="F308" s="209"/>
      <c r="G308" s="209"/>
      <c r="H308" s="209"/>
      <c r="I308" s="209"/>
      <c r="J308" s="209"/>
      <c r="K308" s="209"/>
      <c r="L308" s="209"/>
      <c r="M308" s="209"/>
      <c r="N308" s="209"/>
      <c r="O308" s="209"/>
    </row>
    <row r="309">
      <c r="B309" s="209"/>
      <c r="C309" s="209"/>
      <c r="D309" s="209"/>
      <c r="E309" s="209"/>
      <c r="F309" s="209"/>
      <c r="G309" s="209"/>
      <c r="H309" s="209"/>
      <c r="I309" s="209"/>
      <c r="J309" s="209"/>
      <c r="K309" s="209"/>
      <c r="L309" s="209"/>
      <c r="M309" s="209"/>
      <c r="N309" s="209"/>
      <c r="O309" s="209"/>
    </row>
    <row r="310">
      <c r="B310" s="209"/>
      <c r="C310" s="209"/>
      <c r="D310" s="209"/>
      <c r="E310" s="209"/>
      <c r="F310" s="209"/>
      <c r="G310" s="209"/>
      <c r="H310" s="209"/>
      <c r="I310" s="209"/>
      <c r="J310" s="209"/>
      <c r="K310" s="209"/>
      <c r="L310" s="209"/>
      <c r="M310" s="209"/>
      <c r="N310" s="209"/>
      <c r="O310" s="209"/>
    </row>
    <row r="311">
      <c r="B311" s="209"/>
      <c r="C311" s="209"/>
      <c r="D311" s="209"/>
      <c r="E311" s="209"/>
      <c r="F311" s="209"/>
      <c r="G311" s="209"/>
      <c r="H311" s="209"/>
      <c r="I311" s="209"/>
      <c r="J311" s="209"/>
      <c r="K311" s="209"/>
      <c r="L311" s="209"/>
      <c r="M311" s="209"/>
      <c r="N311" s="209"/>
      <c r="O311" s="209"/>
    </row>
    <row r="312">
      <c r="B312" s="209"/>
      <c r="C312" s="209"/>
      <c r="D312" s="209"/>
      <c r="E312" s="209"/>
      <c r="F312" s="209"/>
      <c r="G312" s="209"/>
      <c r="H312" s="209"/>
      <c r="I312" s="209"/>
      <c r="J312" s="209"/>
      <c r="K312" s="209"/>
      <c r="L312" s="209"/>
      <c r="M312" s="209"/>
      <c r="N312" s="209"/>
      <c r="O312" s="209"/>
    </row>
    <row r="313">
      <c r="B313" s="209"/>
      <c r="C313" s="209"/>
      <c r="D313" s="209"/>
      <c r="E313" s="209"/>
      <c r="F313" s="209"/>
      <c r="G313" s="209"/>
      <c r="H313" s="209"/>
      <c r="I313" s="209"/>
      <c r="J313" s="209"/>
      <c r="K313" s="209"/>
      <c r="L313" s="209"/>
      <c r="M313" s="209"/>
      <c r="N313" s="209"/>
      <c r="O313" s="209"/>
    </row>
    <row r="314">
      <c r="B314" s="209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09"/>
      <c r="O314" s="209"/>
    </row>
    <row r="315">
      <c r="B315" s="209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09"/>
      <c r="O315" s="209"/>
    </row>
    <row r="316">
      <c r="B316" s="209"/>
      <c r="C316" s="209"/>
      <c r="D316" s="209"/>
      <c r="E316" s="209"/>
      <c r="F316" s="209"/>
      <c r="G316" s="209"/>
      <c r="H316" s="209"/>
      <c r="I316" s="209"/>
      <c r="J316" s="209"/>
      <c r="K316" s="209"/>
      <c r="L316" s="209"/>
      <c r="M316" s="209"/>
      <c r="N316" s="209"/>
      <c r="O316" s="209"/>
    </row>
    <row r="317">
      <c r="B317" s="209"/>
      <c r="C317" s="209"/>
      <c r="D317" s="209"/>
      <c r="E317" s="209"/>
      <c r="F317" s="209"/>
      <c r="G317" s="209"/>
      <c r="H317" s="209"/>
      <c r="I317" s="209"/>
      <c r="J317" s="209"/>
      <c r="K317" s="209"/>
      <c r="L317" s="209"/>
      <c r="M317" s="209"/>
      <c r="N317" s="209"/>
      <c r="O317" s="209"/>
    </row>
    <row r="318">
      <c r="B318" s="209"/>
      <c r="C318" s="209"/>
      <c r="D318" s="209"/>
      <c r="E318" s="209"/>
      <c r="F318" s="209"/>
      <c r="G318" s="209"/>
      <c r="H318" s="209"/>
      <c r="I318" s="209"/>
      <c r="J318" s="209"/>
      <c r="K318" s="209"/>
      <c r="L318" s="209"/>
      <c r="M318" s="209"/>
      <c r="N318" s="209"/>
      <c r="O318" s="209"/>
    </row>
    <row r="319">
      <c r="B319" s="209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09"/>
      <c r="O319" s="209"/>
    </row>
    <row r="320">
      <c r="B320" s="209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09"/>
      <c r="O320" s="209"/>
    </row>
    <row r="321">
      <c r="B321" s="209"/>
      <c r="C321" s="209"/>
      <c r="D321" s="209"/>
      <c r="E321" s="209"/>
      <c r="F321" s="209"/>
      <c r="G321" s="209"/>
      <c r="H321" s="209"/>
      <c r="I321" s="209"/>
      <c r="J321" s="209"/>
      <c r="K321" s="209"/>
      <c r="L321" s="209"/>
      <c r="M321" s="209"/>
      <c r="N321" s="209"/>
      <c r="O321" s="209"/>
    </row>
    <row r="322">
      <c r="B322" s="209"/>
      <c r="C322" s="209"/>
      <c r="D322" s="209"/>
      <c r="E322" s="209"/>
      <c r="F322" s="209"/>
      <c r="G322" s="209"/>
      <c r="H322" s="209"/>
      <c r="I322" s="209"/>
      <c r="J322" s="209"/>
      <c r="K322" s="209"/>
      <c r="L322" s="209"/>
      <c r="M322" s="209"/>
      <c r="N322" s="209"/>
      <c r="O322" s="209"/>
    </row>
    <row r="323">
      <c r="B323" s="209"/>
      <c r="C323" s="209"/>
      <c r="D323" s="209"/>
      <c r="E323" s="209"/>
      <c r="F323" s="209"/>
      <c r="G323" s="209"/>
      <c r="H323" s="209"/>
      <c r="I323" s="209"/>
      <c r="J323" s="209"/>
      <c r="K323" s="209"/>
      <c r="L323" s="209"/>
      <c r="M323" s="209"/>
      <c r="N323" s="209"/>
      <c r="O323" s="209"/>
    </row>
    <row r="324">
      <c r="B324" s="209"/>
      <c r="C324" s="209"/>
      <c r="D324" s="209"/>
      <c r="E324" s="209"/>
      <c r="F324" s="209"/>
      <c r="G324" s="209"/>
      <c r="H324" s="209"/>
      <c r="I324" s="209"/>
      <c r="J324" s="209"/>
      <c r="K324" s="209"/>
      <c r="L324" s="209"/>
      <c r="M324" s="209"/>
      <c r="N324" s="209"/>
      <c r="O324" s="209"/>
    </row>
    <row r="325">
      <c r="B325" s="209"/>
      <c r="C325" s="209"/>
      <c r="D325" s="209"/>
      <c r="E325" s="209"/>
      <c r="F325" s="209"/>
      <c r="G325" s="209"/>
      <c r="H325" s="209"/>
      <c r="I325" s="209"/>
      <c r="J325" s="209"/>
      <c r="K325" s="209"/>
      <c r="L325" s="209"/>
      <c r="M325" s="209"/>
      <c r="N325" s="209"/>
      <c r="O325" s="209"/>
    </row>
    <row r="326">
      <c r="B326" s="209"/>
      <c r="C326" s="209"/>
      <c r="D326" s="209"/>
      <c r="E326" s="209"/>
      <c r="F326" s="209"/>
      <c r="G326" s="209"/>
      <c r="H326" s="209"/>
      <c r="I326" s="209"/>
      <c r="J326" s="209"/>
      <c r="K326" s="209"/>
      <c r="L326" s="209"/>
      <c r="M326" s="209"/>
      <c r="N326" s="209"/>
      <c r="O326" s="209"/>
    </row>
    <row r="327">
      <c r="B327" s="209"/>
      <c r="C327" s="209"/>
      <c r="D327" s="209"/>
      <c r="E327" s="209"/>
      <c r="F327" s="209"/>
      <c r="G327" s="209"/>
      <c r="H327" s="209"/>
      <c r="I327" s="209"/>
      <c r="J327" s="209"/>
      <c r="K327" s="209"/>
      <c r="L327" s="209"/>
      <c r="M327" s="209"/>
      <c r="N327" s="209"/>
      <c r="O327" s="209"/>
    </row>
    <row r="328">
      <c r="B328" s="209"/>
      <c r="C328" s="209"/>
      <c r="D328" s="209"/>
      <c r="E328" s="209"/>
      <c r="F328" s="209"/>
      <c r="G328" s="209"/>
      <c r="H328" s="209"/>
      <c r="I328" s="209"/>
      <c r="J328" s="209"/>
      <c r="K328" s="209"/>
      <c r="L328" s="209"/>
      <c r="M328" s="209"/>
      <c r="N328" s="209"/>
      <c r="O328" s="209"/>
    </row>
    <row r="329">
      <c r="B329" s="209"/>
      <c r="C329" s="209"/>
      <c r="D329" s="209"/>
      <c r="E329" s="209"/>
      <c r="F329" s="209"/>
      <c r="G329" s="209"/>
      <c r="H329" s="209"/>
      <c r="I329" s="209"/>
      <c r="J329" s="209"/>
      <c r="K329" s="209"/>
      <c r="L329" s="209"/>
      <c r="M329" s="209"/>
      <c r="N329" s="209"/>
      <c r="O329" s="209"/>
    </row>
    <row r="330">
      <c r="B330" s="209"/>
      <c r="C330" s="209"/>
      <c r="D330" s="209"/>
      <c r="E330" s="209"/>
      <c r="F330" s="209"/>
      <c r="G330" s="209"/>
      <c r="H330" s="209"/>
      <c r="I330" s="209"/>
      <c r="J330" s="209"/>
      <c r="K330" s="209"/>
      <c r="L330" s="209"/>
      <c r="M330" s="209"/>
      <c r="N330" s="209"/>
      <c r="O330" s="209"/>
    </row>
    <row r="331">
      <c r="B331" s="209"/>
      <c r="C331" s="209"/>
      <c r="D331" s="209"/>
      <c r="E331" s="209"/>
      <c r="F331" s="209"/>
      <c r="G331" s="209"/>
      <c r="H331" s="209"/>
      <c r="I331" s="209"/>
      <c r="J331" s="209"/>
      <c r="K331" s="209"/>
      <c r="L331" s="209"/>
      <c r="M331" s="209"/>
      <c r="N331" s="209"/>
      <c r="O331" s="209"/>
    </row>
    <row r="332">
      <c r="B332" s="209"/>
      <c r="C332" s="209"/>
      <c r="D332" s="209"/>
      <c r="E332" s="209"/>
      <c r="F332" s="209"/>
      <c r="G332" s="209"/>
      <c r="H332" s="209"/>
      <c r="I332" s="209"/>
      <c r="J332" s="209"/>
      <c r="K332" s="209"/>
      <c r="L332" s="209"/>
      <c r="M332" s="209"/>
      <c r="N332" s="209"/>
      <c r="O332" s="209"/>
    </row>
    <row r="333">
      <c r="B333" s="209"/>
      <c r="C333" s="209"/>
      <c r="D333" s="209"/>
      <c r="E333" s="209"/>
      <c r="F333" s="209"/>
      <c r="G333" s="209"/>
      <c r="H333" s="209"/>
      <c r="I333" s="209"/>
      <c r="J333" s="209"/>
      <c r="K333" s="209"/>
      <c r="L333" s="209"/>
      <c r="M333" s="209"/>
      <c r="N333" s="209"/>
      <c r="O333" s="209"/>
    </row>
    <row r="334">
      <c r="B334" s="209"/>
      <c r="C334" s="209"/>
      <c r="D334" s="209"/>
      <c r="E334" s="209"/>
      <c r="F334" s="209"/>
      <c r="G334" s="209"/>
      <c r="H334" s="209"/>
      <c r="I334" s="209"/>
      <c r="J334" s="209"/>
      <c r="K334" s="209"/>
      <c r="L334" s="209"/>
      <c r="M334" s="209"/>
      <c r="N334" s="209"/>
      <c r="O334" s="209"/>
    </row>
    <row r="335">
      <c r="B335" s="209"/>
      <c r="C335" s="209"/>
      <c r="D335" s="209"/>
      <c r="E335" s="209"/>
      <c r="F335" s="209"/>
      <c r="G335" s="209"/>
      <c r="H335" s="209"/>
      <c r="I335" s="209"/>
      <c r="J335" s="209"/>
      <c r="K335" s="209"/>
      <c r="L335" s="209"/>
      <c r="M335" s="209"/>
      <c r="N335" s="209"/>
      <c r="O335" s="209"/>
    </row>
    <row r="336">
      <c r="B336" s="209"/>
      <c r="C336" s="209"/>
      <c r="D336" s="209"/>
      <c r="E336" s="209"/>
      <c r="F336" s="209"/>
      <c r="G336" s="209"/>
      <c r="H336" s="209"/>
      <c r="I336" s="209"/>
      <c r="J336" s="209"/>
      <c r="K336" s="209"/>
      <c r="L336" s="209"/>
      <c r="M336" s="209"/>
      <c r="N336" s="209"/>
      <c r="O336" s="209"/>
    </row>
    <row r="337">
      <c r="B337" s="209"/>
      <c r="C337" s="209"/>
      <c r="D337" s="209"/>
      <c r="E337" s="209"/>
      <c r="F337" s="209"/>
      <c r="G337" s="209"/>
      <c r="H337" s="209"/>
      <c r="I337" s="209"/>
      <c r="J337" s="209"/>
      <c r="K337" s="209"/>
      <c r="L337" s="209"/>
      <c r="M337" s="209"/>
      <c r="N337" s="209"/>
      <c r="O337" s="209"/>
    </row>
    <row r="338">
      <c r="B338" s="209"/>
      <c r="C338" s="209"/>
      <c r="D338" s="209"/>
      <c r="E338" s="209"/>
      <c r="F338" s="209"/>
      <c r="G338" s="209"/>
      <c r="H338" s="209"/>
      <c r="I338" s="209"/>
      <c r="J338" s="209"/>
      <c r="K338" s="209"/>
      <c r="L338" s="209"/>
      <c r="M338" s="209"/>
      <c r="N338" s="209"/>
      <c r="O338" s="209"/>
    </row>
    <row r="339">
      <c r="B339" s="209"/>
      <c r="C339" s="209"/>
      <c r="D339" s="209"/>
      <c r="E339" s="209"/>
      <c r="F339" s="209"/>
      <c r="G339" s="209"/>
      <c r="H339" s="209"/>
      <c r="I339" s="209"/>
      <c r="J339" s="209"/>
      <c r="K339" s="209"/>
      <c r="L339" s="209"/>
      <c r="M339" s="209"/>
      <c r="N339" s="209"/>
      <c r="O339" s="209"/>
    </row>
    <row r="340">
      <c r="B340" s="209"/>
      <c r="C340" s="209"/>
      <c r="D340" s="209"/>
      <c r="E340" s="209"/>
      <c r="F340" s="209"/>
      <c r="G340" s="209"/>
      <c r="H340" s="209"/>
      <c r="I340" s="209"/>
      <c r="J340" s="209"/>
      <c r="K340" s="209"/>
      <c r="L340" s="209"/>
      <c r="M340" s="209"/>
      <c r="N340" s="209"/>
      <c r="O340" s="209"/>
    </row>
    <row r="341">
      <c r="B341" s="209"/>
      <c r="C341" s="209"/>
      <c r="D341" s="209"/>
      <c r="E341" s="209"/>
      <c r="F341" s="209"/>
      <c r="G341" s="209"/>
      <c r="H341" s="209"/>
      <c r="I341" s="209"/>
      <c r="J341" s="209"/>
      <c r="K341" s="209"/>
      <c r="L341" s="209"/>
      <c r="M341" s="209"/>
      <c r="N341" s="209"/>
      <c r="O341" s="209"/>
    </row>
    <row r="342">
      <c r="B342" s="209"/>
      <c r="C342" s="209"/>
      <c r="D342" s="209"/>
      <c r="E342" s="209"/>
      <c r="F342" s="209"/>
      <c r="G342" s="209"/>
      <c r="H342" s="209"/>
      <c r="I342" s="209"/>
      <c r="J342" s="209"/>
      <c r="K342" s="209"/>
      <c r="L342" s="209"/>
      <c r="M342" s="209"/>
      <c r="N342" s="209"/>
      <c r="O342" s="209"/>
    </row>
    <row r="343">
      <c r="B343" s="209"/>
      <c r="C343" s="209"/>
      <c r="D343" s="209"/>
      <c r="E343" s="209"/>
      <c r="F343" s="209"/>
      <c r="G343" s="209"/>
      <c r="H343" s="209"/>
      <c r="I343" s="209"/>
      <c r="J343" s="209"/>
      <c r="K343" s="209"/>
      <c r="L343" s="209"/>
      <c r="M343" s="209"/>
      <c r="N343" s="209"/>
      <c r="O343" s="209"/>
    </row>
    <row r="344">
      <c r="B344" s="209"/>
      <c r="C344" s="209"/>
      <c r="D344" s="209"/>
      <c r="E344" s="209"/>
      <c r="F344" s="209"/>
      <c r="G344" s="209"/>
      <c r="H344" s="209"/>
      <c r="I344" s="209"/>
      <c r="J344" s="209"/>
      <c r="K344" s="209"/>
      <c r="L344" s="209"/>
      <c r="M344" s="209"/>
      <c r="N344" s="209"/>
      <c r="O344" s="209"/>
    </row>
    <row r="345">
      <c r="B345" s="209"/>
      <c r="C345" s="209"/>
      <c r="D345" s="209"/>
      <c r="E345" s="209"/>
      <c r="F345" s="209"/>
      <c r="G345" s="209"/>
      <c r="H345" s="209"/>
      <c r="I345" s="209"/>
      <c r="J345" s="209"/>
      <c r="K345" s="209"/>
      <c r="L345" s="209"/>
      <c r="M345" s="209"/>
      <c r="N345" s="209"/>
      <c r="O345" s="209"/>
    </row>
    <row r="346">
      <c r="B346" s="209"/>
      <c r="C346" s="209"/>
      <c r="D346" s="209"/>
      <c r="E346" s="209"/>
      <c r="F346" s="209"/>
      <c r="G346" s="209"/>
      <c r="H346" s="209"/>
      <c r="I346" s="209"/>
      <c r="J346" s="209"/>
      <c r="K346" s="209"/>
      <c r="L346" s="209"/>
      <c r="M346" s="209"/>
      <c r="N346" s="209"/>
      <c r="O346" s="209"/>
    </row>
    <row r="347">
      <c r="B347" s="209"/>
      <c r="C347" s="209"/>
      <c r="D347" s="209"/>
      <c r="E347" s="209"/>
      <c r="F347" s="209"/>
      <c r="G347" s="209"/>
      <c r="H347" s="209"/>
      <c r="I347" s="209"/>
      <c r="J347" s="209"/>
      <c r="K347" s="209"/>
      <c r="L347" s="209"/>
      <c r="M347" s="209"/>
      <c r="N347" s="209"/>
      <c r="O347" s="209"/>
    </row>
    <row r="348">
      <c r="B348" s="209"/>
      <c r="C348" s="209"/>
      <c r="D348" s="209"/>
      <c r="E348" s="209"/>
      <c r="F348" s="209"/>
      <c r="G348" s="209"/>
      <c r="H348" s="209"/>
      <c r="I348" s="209"/>
      <c r="J348" s="209"/>
      <c r="K348" s="209"/>
      <c r="L348" s="209"/>
      <c r="M348" s="209"/>
      <c r="N348" s="209"/>
      <c r="O348" s="209"/>
    </row>
    <row r="349">
      <c r="B349" s="209"/>
      <c r="C349" s="209"/>
      <c r="D349" s="209"/>
      <c r="E349" s="209"/>
      <c r="F349" s="209"/>
      <c r="G349" s="209"/>
      <c r="H349" s="209"/>
      <c r="I349" s="209"/>
      <c r="J349" s="209"/>
      <c r="K349" s="209"/>
      <c r="L349" s="209"/>
      <c r="M349" s="209"/>
      <c r="N349" s="209"/>
      <c r="O349" s="209"/>
    </row>
    <row r="350">
      <c r="B350" s="209"/>
      <c r="C350" s="209"/>
      <c r="D350" s="209"/>
      <c r="E350" s="209"/>
      <c r="F350" s="209"/>
      <c r="G350" s="209"/>
      <c r="H350" s="209"/>
      <c r="I350" s="209"/>
      <c r="J350" s="209"/>
      <c r="K350" s="209"/>
      <c r="L350" s="209"/>
      <c r="M350" s="209"/>
      <c r="N350" s="209"/>
      <c r="O350" s="209"/>
    </row>
    <row r="351">
      <c r="B351" s="209"/>
      <c r="C351" s="209"/>
      <c r="D351" s="209"/>
      <c r="E351" s="209"/>
      <c r="F351" s="209"/>
      <c r="G351" s="209"/>
      <c r="H351" s="209"/>
      <c r="I351" s="209"/>
      <c r="J351" s="209"/>
      <c r="K351" s="209"/>
      <c r="L351" s="209"/>
      <c r="M351" s="209"/>
      <c r="N351" s="209"/>
      <c r="O351" s="209"/>
    </row>
    <row r="352">
      <c r="B352" s="209"/>
      <c r="C352" s="209"/>
      <c r="D352" s="209"/>
      <c r="E352" s="209"/>
      <c r="F352" s="209"/>
      <c r="G352" s="209"/>
      <c r="H352" s="209"/>
      <c r="I352" s="209"/>
      <c r="J352" s="209"/>
      <c r="K352" s="209"/>
      <c r="L352" s="209"/>
      <c r="M352" s="209"/>
      <c r="N352" s="209"/>
      <c r="O352" s="209"/>
    </row>
    <row r="353">
      <c r="B353" s="209"/>
      <c r="C353" s="209"/>
      <c r="D353" s="209"/>
      <c r="E353" s="209"/>
      <c r="F353" s="209"/>
      <c r="G353" s="209"/>
      <c r="H353" s="209"/>
      <c r="I353" s="209"/>
      <c r="J353" s="209"/>
      <c r="K353" s="209"/>
      <c r="L353" s="209"/>
      <c r="M353" s="209"/>
      <c r="N353" s="209"/>
      <c r="O353" s="209"/>
    </row>
    <row r="354">
      <c r="B354" s="209"/>
      <c r="C354" s="209"/>
      <c r="D354" s="209"/>
      <c r="E354" s="209"/>
      <c r="F354" s="209"/>
      <c r="G354" s="209"/>
      <c r="H354" s="209"/>
      <c r="I354" s="209"/>
      <c r="J354" s="209"/>
      <c r="K354" s="209"/>
      <c r="L354" s="209"/>
      <c r="M354" s="209"/>
      <c r="N354" s="209"/>
      <c r="O354" s="209"/>
    </row>
    <row r="355">
      <c r="B355" s="209"/>
      <c r="C355" s="209"/>
      <c r="D355" s="209"/>
      <c r="E355" s="209"/>
      <c r="F355" s="209"/>
      <c r="G355" s="209"/>
      <c r="H355" s="209"/>
      <c r="I355" s="209"/>
      <c r="J355" s="209"/>
      <c r="K355" s="209"/>
      <c r="L355" s="209"/>
      <c r="M355" s="209"/>
      <c r="N355" s="209"/>
      <c r="O355" s="209"/>
    </row>
    <row r="356">
      <c r="B356" s="209"/>
      <c r="C356" s="209"/>
      <c r="D356" s="209"/>
      <c r="E356" s="209"/>
      <c r="F356" s="209"/>
      <c r="G356" s="209"/>
      <c r="H356" s="209"/>
      <c r="I356" s="209"/>
      <c r="J356" s="209"/>
      <c r="K356" s="209"/>
      <c r="L356" s="209"/>
      <c r="M356" s="209"/>
      <c r="N356" s="209"/>
      <c r="O356" s="209"/>
    </row>
    <row r="357">
      <c r="B357" s="209"/>
      <c r="C357" s="209"/>
      <c r="D357" s="209"/>
      <c r="E357" s="209"/>
      <c r="F357" s="209"/>
      <c r="G357" s="209"/>
      <c r="H357" s="209"/>
      <c r="I357" s="209"/>
      <c r="J357" s="209"/>
      <c r="K357" s="209"/>
      <c r="L357" s="209"/>
      <c r="M357" s="209"/>
      <c r="N357" s="209"/>
      <c r="O357" s="209"/>
    </row>
    <row r="358">
      <c r="B358" s="209"/>
      <c r="C358" s="209"/>
      <c r="D358" s="209"/>
      <c r="E358" s="209"/>
      <c r="F358" s="209"/>
      <c r="G358" s="209"/>
      <c r="H358" s="209"/>
      <c r="I358" s="209"/>
      <c r="J358" s="209"/>
      <c r="K358" s="209"/>
      <c r="L358" s="209"/>
      <c r="M358" s="209"/>
      <c r="N358" s="209"/>
      <c r="O358" s="209"/>
    </row>
    <row r="359">
      <c r="B359" s="209"/>
      <c r="C359" s="209"/>
      <c r="D359" s="209"/>
      <c r="E359" s="209"/>
      <c r="F359" s="209"/>
      <c r="G359" s="209"/>
      <c r="H359" s="209"/>
      <c r="I359" s="209"/>
      <c r="J359" s="209"/>
      <c r="K359" s="209"/>
      <c r="L359" s="209"/>
      <c r="M359" s="209"/>
      <c r="N359" s="209"/>
      <c r="O359" s="209"/>
    </row>
    <row r="360">
      <c r="B360" s="209"/>
      <c r="C360" s="209"/>
      <c r="D360" s="209"/>
      <c r="E360" s="209"/>
      <c r="F360" s="209"/>
      <c r="G360" s="209"/>
      <c r="H360" s="209"/>
      <c r="I360" s="209"/>
      <c r="J360" s="209"/>
      <c r="K360" s="209"/>
      <c r="L360" s="209"/>
      <c r="M360" s="209"/>
      <c r="N360" s="209"/>
      <c r="O360" s="209"/>
    </row>
    <row r="361">
      <c r="B361" s="209"/>
      <c r="C361" s="209"/>
      <c r="D361" s="209"/>
      <c r="E361" s="209"/>
      <c r="F361" s="209"/>
      <c r="G361" s="209"/>
      <c r="H361" s="209"/>
      <c r="I361" s="209"/>
      <c r="J361" s="209"/>
      <c r="K361" s="209"/>
      <c r="L361" s="209"/>
      <c r="M361" s="209"/>
      <c r="N361" s="209"/>
      <c r="O361" s="209"/>
    </row>
    <row r="362">
      <c r="B362" s="209"/>
      <c r="C362" s="209"/>
      <c r="D362" s="209"/>
      <c r="E362" s="209"/>
      <c r="F362" s="209"/>
      <c r="G362" s="209"/>
      <c r="H362" s="209"/>
      <c r="I362" s="209"/>
      <c r="J362" s="209"/>
      <c r="K362" s="209"/>
      <c r="L362" s="209"/>
      <c r="M362" s="209"/>
      <c r="N362" s="209"/>
      <c r="O362" s="209"/>
    </row>
    <row r="363">
      <c r="B363" s="209"/>
      <c r="C363" s="209"/>
      <c r="D363" s="209"/>
      <c r="E363" s="209"/>
      <c r="F363" s="209"/>
      <c r="G363" s="209"/>
      <c r="H363" s="209"/>
      <c r="I363" s="209"/>
      <c r="J363" s="209"/>
      <c r="K363" s="209"/>
      <c r="L363" s="209"/>
      <c r="M363" s="209"/>
      <c r="N363" s="209"/>
      <c r="O363" s="209"/>
    </row>
    <row r="364">
      <c r="B364" s="209"/>
      <c r="C364" s="209"/>
      <c r="D364" s="209"/>
      <c r="E364" s="209"/>
      <c r="F364" s="209"/>
      <c r="G364" s="209"/>
      <c r="H364" s="209"/>
      <c r="I364" s="209"/>
      <c r="J364" s="209"/>
      <c r="K364" s="209"/>
      <c r="L364" s="209"/>
      <c r="M364" s="209"/>
      <c r="N364" s="209"/>
      <c r="O364" s="209"/>
    </row>
    <row r="365">
      <c r="B365" s="209"/>
      <c r="C365" s="209"/>
      <c r="D365" s="209"/>
      <c r="E365" s="209"/>
      <c r="F365" s="209"/>
      <c r="G365" s="209"/>
      <c r="H365" s="209"/>
      <c r="I365" s="209"/>
      <c r="J365" s="209"/>
      <c r="K365" s="209"/>
      <c r="L365" s="209"/>
      <c r="M365" s="209"/>
      <c r="N365" s="209"/>
      <c r="O365" s="209"/>
    </row>
    <row r="366">
      <c r="B366" s="209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09"/>
      <c r="O366" s="209"/>
    </row>
    <row r="367">
      <c r="B367" s="209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09"/>
      <c r="O367" s="209"/>
    </row>
    <row r="368">
      <c r="B368" s="209"/>
      <c r="C368" s="209"/>
      <c r="D368" s="209"/>
      <c r="E368" s="209"/>
      <c r="F368" s="209"/>
      <c r="G368" s="209"/>
      <c r="H368" s="209"/>
      <c r="I368" s="209"/>
      <c r="J368" s="209"/>
      <c r="K368" s="209"/>
      <c r="L368" s="209"/>
      <c r="M368" s="209"/>
      <c r="N368" s="209"/>
      <c r="O368" s="209"/>
    </row>
    <row r="369">
      <c r="B369" s="209"/>
      <c r="C369" s="209"/>
      <c r="D369" s="209"/>
      <c r="E369" s="209"/>
      <c r="F369" s="209"/>
      <c r="G369" s="209"/>
      <c r="H369" s="209"/>
      <c r="I369" s="209"/>
      <c r="J369" s="209"/>
      <c r="K369" s="209"/>
      <c r="L369" s="209"/>
      <c r="M369" s="209"/>
      <c r="N369" s="209"/>
      <c r="O369" s="209"/>
    </row>
    <row r="370">
      <c r="B370" s="209"/>
      <c r="C370" s="209"/>
      <c r="D370" s="209"/>
      <c r="E370" s="209"/>
      <c r="F370" s="209"/>
      <c r="G370" s="209"/>
      <c r="H370" s="209"/>
      <c r="I370" s="209"/>
      <c r="J370" s="209"/>
      <c r="K370" s="209"/>
      <c r="L370" s="209"/>
      <c r="M370" s="209"/>
      <c r="N370" s="209"/>
      <c r="O370" s="209"/>
    </row>
    <row r="371">
      <c r="B371" s="209"/>
      <c r="C371" s="209"/>
      <c r="D371" s="209"/>
      <c r="E371" s="209"/>
      <c r="F371" s="209"/>
      <c r="G371" s="209"/>
      <c r="H371" s="209"/>
      <c r="I371" s="209"/>
      <c r="J371" s="209"/>
      <c r="K371" s="209"/>
      <c r="L371" s="209"/>
      <c r="M371" s="209"/>
      <c r="N371" s="209"/>
      <c r="O371" s="209"/>
    </row>
    <row r="372">
      <c r="B372" s="209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09"/>
      <c r="O372" s="209"/>
    </row>
    <row r="373">
      <c r="B373" s="209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09"/>
      <c r="O373" s="209"/>
    </row>
    <row r="374">
      <c r="B374" s="209"/>
      <c r="C374" s="209"/>
      <c r="D374" s="209"/>
      <c r="E374" s="209"/>
      <c r="F374" s="209"/>
      <c r="G374" s="209"/>
      <c r="H374" s="209"/>
      <c r="I374" s="209"/>
      <c r="J374" s="209"/>
      <c r="K374" s="209"/>
      <c r="L374" s="209"/>
      <c r="M374" s="209"/>
      <c r="N374" s="209"/>
      <c r="O374" s="209"/>
    </row>
    <row r="375">
      <c r="B375" s="209"/>
      <c r="C375" s="209"/>
      <c r="D375" s="209"/>
      <c r="E375" s="209"/>
      <c r="F375" s="209"/>
      <c r="G375" s="209"/>
      <c r="H375" s="209"/>
      <c r="I375" s="209"/>
      <c r="J375" s="209"/>
      <c r="K375" s="209"/>
      <c r="L375" s="209"/>
      <c r="M375" s="209"/>
      <c r="N375" s="209"/>
      <c r="O375" s="209"/>
    </row>
    <row r="376">
      <c r="B376" s="209"/>
      <c r="C376" s="209"/>
      <c r="D376" s="209"/>
      <c r="E376" s="209"/>
      <c r="F376" s="209"/>
      <c r="G376" s="209"/>
      <c r="H376" s="209"/>
      <c r="I376" s="209"/>
      <c r="J376" s="209"/>
      <c r="K376" s="209"/>
      <c r="L376" s="209"/>
      <c r="M376" s="209"/>
      <c r="N376" s="209"/>
      <c r="O376" s="209"/>
    </row>
    <row r="377">
      <c r="B377" s="209"/>
      <c r="C377" s="209"/>
      <c r="D377" s="209"/>
      <c r="E377" s="209"/>
      <c r="F377" s="209"/>
      <c r="G377" s="209"/>
      <c r="H377" s="209"/>
      <c r="I377" s="209"/>
      <c r="J377" s="209"/>
      <c r="K377" s="209"/>
      <c r="L377" s="209"/>
      <c r="M377" s="209"/>
      <c r="N377" s="209"/>
      <c r="O377" s="209"/>
    </row>
    <row r="378">
      <c r="B378" s="209"/>
      <c r="C378" s="209"/>
      <c r="D378" s="209"/>
      <c r="E378" s="209"/>
      <c r="F378" s="209"/>
      <c r="G378" s="209"/>
      <c r="H378" s="209"/>
      <c r="I378" s="209"/>
      <c r="J378" s="209"/>
      <c r="K378" s="209"/>
      <c r="L378" s="209"/>
      <c r="M378" s="209"/>
      <c r="N378" s="209"/>
      <c r="O378" s="209"/>
    </row>
    <row r="379">
      <c r="B379" s="209"/>
      <c r="C379" s="209"/>
      <c r="D379" s="209"/>
      <c r="E379" s="209"/>
      <c r="F379" s="209"/>
      <c r="G379" s="209"/>
      <c r="H379" s="209"/>
      <c r="I379" s="209"/>
      <c r="J379" s="209"/>
      <c r="K379" s="209"/>
      <c r="L379" s="209"/>
      <c r="M379" s="209"/>
      <c r="N379" s="209"/>
      <c r="O379" s="209"/>
    </row>
    <row r="380">
      <c r="B380" s="209"/>
      <c r="C380" s="209"/>
      <c r="D380" s="209"/>
      <c r="E380" s="209"/>
      <c r="F380" s="209"/>
      <c r="G380" s="209"/>
      <c r="H380" s="209"/>
      <c r="I380" s="209"/>
      <c r="J380" s="209"/>
      <c r="K380" s="209"/>
      <c r="L380" s="209"/>
      <c r="M380" s="209"/>
      <c r="N380" s="209"/>
      <c r="O380" s="209"/>
    </row>
    <row r="381">
      <c r="B381" s="209"/>
      <c r="C381" s="209"/>
      <c r="D381" s="209"/>
      <c r="E381" s="209"/>
      <c r="F381" s="209"/>
      <c r="G381" s="209"/>
      <c r="H381" s="209"/>
      <c r="I381" s="209"/>
      <c r="J381" s="209"/>
      <c r="K381" s="209"/>
      <c r="L381" s="209"/>
      <c r="M381" s="209"/>
      <c r="N381" s="209"/>
      <c r="O381" s="209"/>
    </row>
    <row r="382">
      <c r="B382" s="209"/>
      <c r="C382" s="209"/>
      <c r="D382" s="209"/>
      <c r="E382" s="209"/>
      <c r="F382" s="209"/>
      <c r="G382" s="209"/>
      <c r="H382" s="209"/>
      <c r="I382" s="209"/>
      <c r="J382" s="209"/>
      <c r="K382" s="209"/>
      <c r="L382" s="209"/>
      <c r="M382" s="209"/>
      <c r="N382" s="209"/>
      <c r="O382" s="209"/>
    </row>
    <row r="383">
      <c r="B383" s="209"/>
      <c r="C383" s="209"/>
      <c r="D383" s="209"/>
      <c r="E383" s="209"/>
      <c r="F383" s="209"/>
      <c r="G383" s="209"/>
      <c r="H383" s="209"/>
      <c r="I383" s="209"/>
      <c r="J383" s="209"/>
      <c r="K383" s="209"/>
      <c r="L383" s="209"/>
      <c r="M383" s="209"/>
      <c r="N383" s="209"/>
      <c r="O383" s="209"/>
    </row>
    <row r="384">
      <c r="B384" s="209"/>
      <c r="C384" s="209"/>
      <c r="D384" s="209"/>
      <c r="E384" s="209"/>
      <c r="F384" s="209"/>
      <c r="G384" s="209"/>
      <c r="H384" s="209"/>
      <c r="I384" s="209"/>
      <c r="J384" s="209"/>
      <c r="K384" s="209"/>
      <c r="L384" s="209"/>
      <c r="M384" s="209"/>
      <c r="N384" s="209"/>
      <c r="O384" s="209"/>
    </row>
    <row r="385">
      <c r="B385" s="209"/>
      <c r="C385" s="209"/>
      <c r="D385" s="209"/>
      <c r="E385" s="209"/>
      <c r="F385" s="209"/>
      <c r="G385" s="209"/>
      <c r="H385" s="209"/>
      <c r="I385" s="209"/>
      <c r="J385" s="209"/>
      <c r="K385" s="209"/>
      <c r="L385" s="209"/>
      <c r="M385" s="209"/>
      <c r="N385" s="209"/>
      <c r="O385" s="209"/>
    </row>
    <row r="386">
      <c r="B386" s="209"/>
      <c r="C386" s="209"/>
      <c r="D386" s="209"/>
      <c r="E386" s="209"/>
      <c r="F386" s="209"/>
      <c r="G386" s="209"/>
      <c r="H386" s="209"/>
      <c r="I386" s="209"/>
      <c r="J386" s="209"/>
      <c r="K386" s="209"/>
      <c r="L386" s="209"/>
      <c r="M386" s="209"/>
      <c r="N386" s="209"/>
      <c r="O386" s="209"/>
    </row>
    <row r="387">
      <c r="B387" s="209"/>
      <c r="C387" s="209"/>
      <c r="D387" s="209"/>
      <c r="E387" s="209"/>
      <c r="F387" s="209"/>
      <c r="G387" s="209"/>
      <c r="H387" s="209"/>
      <c r="I387" s="209"/>
      <c r="J387" s="209"/>
      <c r="K387" s="209"/>
      <c r="L387" s="209"/>
      <c r="M387" s="209"/>
      <c r="N387" s="209"/>
      <c r="O387" s="209"/>
    </row>
    <row r="388">
      <c r="B388" s="209"/>
      <c r="C388" s="209"/>
      <c r="D388" s="209"/>
      <c r="E388" s="209"/>
      <c r="F388" s="209"/>
      <c r="G388" s="209"/>
      <c r="H388" s="209"/>
      <c r="I388" s="209"/>
      <c r="J388" s="209"/>
      <c r="K388" s="209"/>
      <c r="L388" s="209"/>
      <c r="M388" s="209"/>
      <c r="N388" s="209"/>
      <c r="O388" s="209"/>
    </row>
    <row r="389">
      <c r="B389" s="209"/>
      <c r="C389" s="209"/>
      <c r="D389" s="209"/>
      <c r="E389" s="209"/>
      <c r="F389" s="209"/>
      <c r="G389" s="209"/>
      <c r="H389" s="209"/>
      <c r="I389" s="209"/>
      <c r="J389" s="209"/>
      <c r="K389" s="209"/>
      <c r="L389" s="209"/>
      <c r="M389" s="209"/>
      <c r="N389" s="209"/>
      <c r="O389" s="209"/>
    </row>
    <row r="390">
      <c r="B390" s="209"/>
      <c r="C390" s="209"/>
      <c r="D390" s="209"/>
      <c r="E390" s="209"/>
      <c r="F390" s="209"/>
      <c r="G390" s="209"/>
      <c r="H390" s="209"/>
      <c r="I390" s="209"/>
      <c r="J390" s="209"/>
      <c r="K390" s="209"/>
      <c r="L390" s="209"/>
      <c r="M390" s="209"/>
      <c r="N390" s="209"/>
      <c r="O390" s="209"/>
    </row>
    <row r="391">
      <c r="B391" s="209"/>
      <c r="C391" s="209"/>
      <c r="D391" s="209"/>
      <c r="E391" s="209"/>
      <c r="F391" s="209"/>
      <c r="G391" s="209"/>
      <c r="H391" s="209"/>
      <c r="I391" s="209"/>
      <c r="J391" s="209"/>
      <c r="K391" s="209"/>
      <c r="L391" s="209"/>
      <c r="M391" s="209"/>
      <c r="N391" s="209"/>
      <c r="O391" s="209"/>
    </row>
    <row r="392">
      <c r="B392" s="209"/>
      <c r="C392" s="209"/>
      <c r="D392" s="209"/>
      <c r="E392" s="209"/>
      <c r="F392" s="209"/>
      <c r="G392" s="209"/>
      <c r="H392" s="209"/>
      <c r="I392" s="209"/>
      <c r="J392" s="209"/>
      <c r="K392" s="209"/>
      <c r="L392" s="209"/>
      <c r="M392" s="209"/>
      <c r="N392" s="209"/>
      <c r="O392" s="209"/>
    </row>
    <row r="393">
      <c r="B393" s="209"/>
      <c r="C393" s="209"/>
      <c r="D393" s="209"/>
      <c r="E393" s="209"/>
      <c r="F393" s="209"/>
      <c r="G393" s="209"/>
      <c r="H393" s="209"/>
      <c r="I393" s="209"/>
      <c r="J393" s="209"/>
      <c r="K393" s="209"/>
      <c r="L393" s="209"/>
      <c r="M393" s="209"/>
      <c r="N393" s="209"/>
      <c r="O393" s="209"/>
    </row>
    <row r="394">
      <c r="B394" s="209"/>
      <c r="C394" s="209"/>
      <c r="D394" s="209"/>
      <c r="E394" s="209"/>
      <c r="F394" s="209"/>
      <c r="G394" s="209"/>
      <c r="H394" s="209"/>
      <c r="I394" s="209"/>
      <c r="J394" s="209"/>
      <c r="K394" s="209"/>
      <c r="L394" s="209"/>
      <c r="M394" s="209"/>
      <c r="N394" s="209"/>
      <c r="O394" s="209"/>
    </row>
    <row r="395">
      <c r="B395" s="209"/>
      <c r="C395" s="209"/>
      <c r="D395" s="209"/>
      <c r="E395" s="209"/>
      <c r="F395" s="209"/>
      <c r="G395" s="209"/>
      <c r="H395" s="209"/>
      <c r="I395" s="209"/>
      <c r="J395" s="209"/>
      <c r="K395" s="209"/>
      <c r="L395" s="209"/>
      <c r="M395" s="209"/>
      <c r="N395" s="209"/>
      <c r="O395" s="209"/>
    </row>
    <row r="396">
      <c r="B396" s="209"/>
      <c r="C396" s="209"/>
      <c r="D396" s="209"/>
      <c r="E396" s="209"/>
      <c r="F396" s="209"/>
      <c r="G396" s="209"/>
      <c r="H396" s="209"/>
      <c r="I396" s="209"/>
      <c r="J396" s="209"/>
      <c r="K396" s="209"/>
      <c r="L396" s="209"/>
      <c r="M396" s="209"/>
      <c r="N396" s="209"/>
      <c r="O396" s="209"/>
    </row>
    <row r="397">
      <c r="B397" s="209"/>
      <c r="C397" s="209"/>
      <c r="D397" s="209"/>
      <c r="E397" s="209"/>
      <c r="F397" s="209"/>
      <c r="G397" s="209"/>
      <c r="H397" s="209"/>
      <c r="I397" s="209"/>
      <c r="J397" s="209"/>
      <c r="K397" s="209"/>
      <c r="L397" s="209"/>
      <c r="M397" s="209"/>
      <c r="N397" s="209"/>
      <c r="O397" s="209"/>
    </row>
    <row r="398">
      <c r="B398" s="209"/>
      <c r="C398" s="209"/>
      <c r="D398" s="209"/>
      <c r="E398" s="209"/>
      <c r="F398" s="209"/>
      <c r="G398" s="209"/>
      <c r="H398" s="209"/>
      <c r="I398" s="209"/>
      <c r="J398" s="209"/>
      <c r="K398" s="209"/>
      <c r="L398" s="209"/>
      <c r="M398" s="209"/>
      <c r="N398" s="209"/>
      <c r="O398" s="209"/>
    </row>
    <row r="399">
      <c r="B399" s="209"/>
      <c r="C399" s="209"/>
      <c r="D399" s="209"/>
      <c r="E399" s="209"/>
      <c r="F399" s="209"/>
      <c r="G399" s="209"/>
      <c r="H399" s="209"/>
      <c r="I399" s="209"/>
      <c r="J399" s="209"/>
      <c r="K399" s="209"/>
      <c r="L399" s="209"/>
      <c r="M399" s="209"/>
      <c r="N399" s="209"/>
      <c r="O399" s="209"/>
    </row>
    <row r="400">
      <c r="B400" s="209"/>
      <c r="C400" s="209"/>
      <c r="D400" s="209"/>
      <c r="E400" s="209"/>
      <c r="F400" s="209"/>
      <c r="G400" s="209"/>
      <c r="H400" s="209"/>
      <c r="I400" s="209"/>
      <c r="J400" s="209"/>
      <c r="K400" s="209"/>
      <c r="L400" s="209"/>
      <c r="M400" s="209"/>
      <c r="N400" s="209"/>
      <c r="O400" s="209"/>
    </row>
    <row r="401">
      <c r="B401" s="209"/>
      <c r="C401" s="209"/>
      <c r="D401" s="209"/>
      <c r="E401" s="209"/>
      <c r="F401" s="209"/>
      <c r="G401" s="209"/>
      <c r="H401" s="209"/>
      <c r="I401" s="209"/>
      <c r="J401" s="209"/>
      <c r="K401" s="209"/>
      <c r="L401" s="209"/>
      <c r="M401" s="209"/>
      <c r="N401" s="209"/>
      <c r="O401" s="209"/>
    </row>
    <row r="402">
      <c r="B402" s="209"/>
      <c r="C402" s="209"/>
      <c r="D402" s="209"/>
      <c r="E402" s="209"/>
      <c r="F402" s="209"/>
      <c r="G402" s="209"/>
      <c r="H402" s="209"/>
      <c r="I402" s="209"/>
      <c r="J402" s="209"/>
      <c r="K402" s="209"/>
      <c r="L402" s="209"/>
      <c r="M402" s="209"/>
      <c r="N402" s="209"/>
      <c r="O402" s="209"/>
    </row>
    <row r="403">
      <c r="B403" s="209"/>
      <c r="C403" s="209"/>
      <c r="D403" s="209"/>
      <c r="E403" s="209"/>
      <c r="F403" s="209"/>
      <c r="G403" s="209"/>
      <c r="H403" s="209"/>
      <c r="I403" s="209"/>
      <c r="J403" s="209"/>
      <c r="K403" s="209"/>
      <c r="L403" s="209"/>
      <c r="M403" s="209"/>
      <c r="N403" s="209"/>
      <c r="O403" s="209"/>
    </row>
    <row r="404">
      <c r="B404" s="209"/>
      <c r="C404" s="209"/>
      <c r="D404" s="209"/>
      <c r="E404" s="209"/>
      <c r="F404" s="209"/>
      <c r="G404" s="209"/>
      <c r="H404" s="209"/>
      <c r="I404" s="209"/>
      <c r="J404" s="209"/>
      <c r="K404" s="209"/>
      <c r="L404" s="209"/>
      <c r="M404" s="209"/>
      <c r="N404" s="209"/>
      <c r="O404" s="209"/>
    </row>
    <row r="405">
      <c r="B405" s="209"/>
      <c r="C405" s="209"/>
      <c r="D405" s="209"/>
      <c r="E405" s="209"/>
      <c r="F405" s="209"/>
      <c r="G405" s="209"/>
      <c r="H405" s="209"/>
      <c r="I405" s="209"/>
      <c r="J405" s="209"/>
      <c r="K405" s="209"/>
      <c r="L405" s="209"/>
      <c r="M405" s="209"/>
      <c r="N405" s="209"/>
      <c r="O405" s="209"/>
    </row>
    <row r="406">
      <c r="B406" s="209"/>
      <c r="C406" s="209"/>
      <c r="D406" s="209"/>
      <c r="E406" s="209"/>
      <c r="F406" s="209"/>
      <c r="G406" s="209"/>
      <c r="H406" s="209"/>
      <c r="I406" s="209"/>
      <c r="J406" s="209"/>
      <c r="K406" s="209"/>
      <c r="L406" s="209"/>
      <c r="M406" s="209"/>
      <c r="N406" s="209"/>
      <c r="O406" s="209"/>
    </row>
    <row r="407">
      <c r="B407" s="209"/>
      <c r="C407" s="209"/>
      <c r="D407" s="209"/>
      <c r="E407" s="209"/>
      <c r="F407" s="209"/>
      <c r="G407" s="209"/>
      <c r="H407" s="209"/>
      <c r="I407" s="209"/>
      <c r="J407" s="209"/>
      <c r="K407" s="209"/>
      <c r="L407" s="209"/>
      <c r="M407" s="209"/>
      <c r="N407" s="209"/>
      <c r="O407" s="209"/>
    </row>
    <row r="408">
      <c r="B408" s="209"/>
      <c r="C408" s="209"/>
      <c r="D408" s="209"/>
      <c r="E408" s="209"/>
      <c r="F408" s="209"/>
      <c r="G408" s="209"/>
      <c r="H408" s="209"/>
      <c r="I408" s="209"/>
      <c r="J408" s="209"/>
      <c r="K408" s="209"/>
      <c r="L408" s="209"/>
      <c r="M408" s="209"/>
      <c r="N408" s="209"/>
      <c r="O408" s="209"/>
    </row>
    <row r="409">
      <c r="B409" s="209"/>
      <c r="C409" s="209"/>
      <c r="D409" s="209"/>
      <c r="E409" s="209"/>
      <c r="F409" s="209"/>
      <c r="G409" s="209"/>
      <c r="H409" s="209"/>
      <c r="I409" s="209"/>
      <c r="J409" s="209"/>
      <c r="K409" s="209"/>
      <c r="L409" s="209"/>
      <c r="M409" s="209"/>
      <c r="N409" s="209"/>
      <c r="O409" s="209"/>
    </row>
    <row r="410">
      <c r="B410" s="209"/>
      <c r="C410" s="209"/>
      <c r="D410" s="209"/>
      <c r="E410" s="209"/>
      <c r="F410" s="209"/>
      <c r="G410" s="209"/>
      <c r="H410" s="209"/>
      <c r="I410" s="209"/>
      <c r="J410" s="209"/>
      <c r="K410" s="209"/>
      <c r="L410" s="209"/>
      <c r="M410" s="209"/>
      <c r="N410" s="209"/>
      <c r="O410" s="209"/>
    </row>
    <row r="411">
      <c r="B411" s="209"/>
      <c r="C411" s="209"/>
      <c r="D411" s="209"/>
      <c r="E411" s="209"/>
      <c r="F411" s="209"/>
      <c r="G411" s="209"/>
      <c r="H411" s="209"/>
      <c r="I411" s="209"/>
      <c r="J411" s="209"/>
      <c r="K411" s="209"/>
      <c r="L411" s="209"/>
      <c r="M411" s="209"/>
      <c r="N411" s="209"/>
      <c r="O411" s="209"/>
    </row>
    <row r="412">
      <c r="B412" s="209"/>
      <c r="C412" s="209"/>
      <c r="D412" s="209"/>
      <c r="E412" s="209"/>
      <c r="F412" s="209"/>
      <c r="G412" s="209"/>
      <c r="H412" s="209"/>
      <c r="I412" s="209"/>
      <c r="J412" s="209"/>
      <c r="K412" s="209"/>
      <c r="L412" s="209"/>
      <c r="M412" s="209"/>
      <c r="N412" s="209"/>
      <c r="O412" s="209"/>
    </row>
    <row r="413">
      <c r="B413" s="209"/>
      <c r="C413" s="209"/>
      <c r="D413" s="209"/>
      <c r="E413" s="209"/>
      <c r="F413" s="209"/>
      <c r="G413" s="209"/>
      <c r="H413" s="209"/>
      <c r="I413" s="209"/>
      <c r="J413" s="209"/>
      <c r="K413" s="209"/>
      <c r="L413" s="209"/>
      <c r="M413" s="209"/>
      <c r="N413" s="209"/>
      <c r="O413" s="209"/>
    </row>
    <row r="414">
      <c r="B414" s="209"/>
      <c r="C414" s="209"/>
      <c r="D414" s="209"/>
      <c r="E414" s="209"/>
      <c r="F414" s="209"/>
      <c r="G414" s="209"/>
      <c r="H414" s="209"/>
      <c r="I414" s="209"/>
      <c r="J414" s="209"/>
      <c r="K414" s="209"/>
      <c r="L414" s="209"/>
      <c r="M414" s="209"/>
      <c r="N414" s="209"/>
      <c r="O414" s="209"/>
    </row>
    <row r="415">
      <c r="B415" s="209"/>
      <c r="C415" s="209"/>
      <c r="D415" s="209"/>
      <c r="E415" s="209"/>
      <c r="F415" s="209"/>
      <c r="G415" s="209"/>
      <c r="H415" s="209"/>
      <c r="I415" s="209"/>
      <c r="J415" s="209"/>
      <c r="K415" s="209"/>
      <c r="L415" s="209"/>
      <c r="M415" s="209"/>
      <c r="N415" s="209"/>
      <c r="O415" s="209"/>
    </row>
    <row r="416">
      <c r="B416" s="209"/>
      <c r="C416" s="209"/>
      <c r="D416" s="209"/>
      <c r="E416" s="209"/>
      <c r="F416" s="209"/>
      <c r="G416" s="209"/>
      <c r="H416" s="209"/>
      <c r="I416" s="209"/>
      <c r="J416" s="209"/>
      <c r="K416" s="209"/>
      <c r="L416" s="209"/>
      <c r="M416" s="209"/>
      <c r="N416" s="209"/>
      <c r="O416" s="209"/>
    </row>
    <row r="417">
      <c r="B417" s="209"/>
      <c r="C417" s="209"/>
      <c r="D417" s="209"/>
      <c r="E417" s="209"/>
      <c r="F417" s="209"/>
      <c r="G417" s="209"/>
      <c r="H417" s="209"/>
      <c r="I417" s="209"/>
      <c r="J417" s="209"/>
      <c r="K417" s="209"/>
      <c r="L417" s="209"/>
      <c r="M417" s="209"/>
      <c r="N417" s="209"/>
      <c r="O417" s="209"/>
    </row>
    <row r="418">
      <c r="B418" s="209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09"/>
      <c r="O418" s="209"/>
    </row>
    <row r="419">
      <c r="B419" s="209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09"/>
      <c r="O419" s="209"/>
    </row>
    <row r="420">
      <c r="B420" s="209"/>
      <c r="C420" s="209"/>
      <c r="D420" s="209"/>
      <c r="E420" s="209"/>
      <c r="F420" s="209"/>
      <c r="G420" s="209"/>
      <c r="H420" s="209"/>
      <c r="I420" s="209"/>
      <c r="J420" s="209"/>
      <c r="K420" s="209"/>
      <c r="L420" s="209"/>
      <c r="M420" s="209"/>
      <c r="N420" s="209"/>
      <c r="O420" s="209"/>
    </row>
    <row r="421">
      <c r="B421" s="209"/>
      <c r="C421" s="209"/>
      <c r="D421" s="209"/>
      <c r="E421" s="209"/>
      <c r="F421" s="209"/>
      <c r="G421" s="209"/>
      <c r="H421" s="209"/>
      <c r="I421" s="209"/>
      <c r="J421" s="209"/>
      <c r="K421" s="209"/>
      <c r="L421" s="209"/>
      <c r="M421" s="209"/>
      <c r="N421" s="209"/>
      <c r="O421" s="209"/>
    </row>
    <row r="422">
      <c r="B422" s="209"/>
      <c r="C422" s="209"/>
      <c r="D422" s="209"/>
      <c r="E422" s="209"/>
      <c r="F422" s="209"/>
      <c r="G422" s="209"/>
      <c r="H422" s="209"/>
      <c r="I422" s="209"/>
      <c r="J422" s="209"/>
      <c r="K422" s="209"/>
      <c r="L422" s="209"/>
      <c r="M422" s="209"/>
      <c r="N422" s="209"/>
      <c r="O422" s="209"/>
    </row>
    <row r="423">
      <c r="B423" s="209"/>
      <c r="C423" s="209"/>
      <c r="D423" s="209"/>
      <c r="E423" s="209"/>
      <c r="F423" s="209"/>
      <c r="G423" s="209"/>
      <c r="H423" s="209"/>
      <c r="I423" s="209"/>
      <c r="J423" s="209"/>
      <c r="K423" s="209"/>
      <c r="L423" s="209"/>
      <c r="M423" s="209"/>
      <c r="N423" s="209"/>
      <c r="O423" s="209"/>
    </row>
    <row r="424">
      <c r="B424" s="209"/>
      <c r="C424" s="209"/>
      <c r="D424" s="209"/>
      <c r="E424" s="209"/>
      <c r="F424" s="209"/>
      <c r="G424" s="209"/>
      <c r="H424" s="209"/>
      <c r="I424" s="209"/>
      <c r="J424" s="209"/>
      <c r="K424" s="209"/>
      <c r="L424" s="209"/>
      <c r="M424" s="209"/>
      <c r="N424" s="209"/>
      <c r="O424" s="209"/>
    </row>
    <row r="425">
      <c r="B425" s="209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09"/>
      <c r="O425" s="209"/>
    </row>
    <row r="426">
      <c r="B426" s="209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09"/>
      <c r="O426" s="209"/>
    </row>
    <row r="427">
      <c r="B427" s="209"/>
      <c r="C427" s="209"/>
      <c r="D427" s="209"/>
      <c r="E427" s="209"/>
      <c r="F427" s="209"/>
      <c r="G427" s="209"/>
      <c r="H427" s="209"/>
      <c r="I427" s="209"/>
      <c r="J427" s="209"/>
      <c r="K427" s="209"/>
      <c r="L427" s="209"/>
      <c r="M427" s="209"/>
      <c r="N427" s="209"/>
      <c r="O427" s="209"/>
    </row>
    <row r="428">
      <c r="B428" s="209"/>
      <c r="C428" s="209"/>
      <c r="D428" s="209"/>
      <c r="E428" s="209"/>
      <c r="F428" s="209"/>
      <c r="G428" s="209"/>
      <c r="H428" s="209"/>
      <c r="I428" s="209"/>
      <c r="J428" s="209"/>
      <c r="K428" s="209"/>
      <c r="L428" s="209"/>
      <c r="M428" s="209"/>
      <c r="N428" s="209"/>
      <c r="O428" s="209"/>
    </row>
    <row r="429">
      <c r="B429" s="209"/>
      <c r="C429" s="209"/>
      <c r="D429" s="209"/>
      <c r="E429" s="209"/>
      <c r="F429" s="209"/>
      <c r="G429" s="209"/>
      <c r="H429" s="209"/>
      <c r="I429" s="209"/>
      <c r="J429" s="209"/>
      <c r="K429" s="209"/>
      <c r="L429" s="209"/>
      <c r="M429" s="209"/>
      <c r="N429" s="209"/>
      <c r="O429" s="209"/>
    </row>
    <row r="430">
      <c r="B430" s="209"/>
      <c r="C430" s="209"/>
      <c r="D430" s="209"/>
      <c r="E430" s="209"/>
      <c r="F430" s="209"/>
      <c r="G430" s="209"/>
      <c r="H430" s="209"/>
      <c r="I430" s="209"/>
      <c r="J430" s="209"/>
      <c r="K430" s="209"/>
      <c r="L430" s="209"/>
      <c r="M430" s="209"/>
      <c r="N430" s="209"/>
      <c r="O430" s="209"/>
    </row>
    <row r="431">
      <c r="B431" s="209"/>
      <c r="C431" s="209"/>
      <c r="D431" s="209"/>
      <c r="E431" s="209"/>
      <c r="F431" s="209"/>
      <c r="G431" s="209"/>
      <c r="H431" s="209"/>
      <c r="I431" s="209"/>
      <c r="J431" s="209"/>
      <c r="K431" s="209"/>
      <c r="L431" s="209"/>
      <c r="M431" s="209"/>
      <c r="N431" s="209"/>
      <c r="O431" s="209"/>
    </row>
    <row r="432">
      <c r="B432" s="209"/>
      <c r="C432" s="209"/>
      <c r="D432" s="209"/>
      <c r="E432" s="209"/>
      <c r="F432" s="209"/>
      <c r="G432" s="209"/>
      <c r="H432" s="209"/>
      <c r="I432" s="209"/>
      <c r="J432" s="209"/>
      <c r="K432" s="209"/>
      <c r="L432" s="209"/>
      <c r="M432" s="209"/>
      <c r="N432" s="209"/>
      <c r="O432" s="209"/>
    </row>
    <row r="433">
      <c r="B433" s="209"/>
      <c r="C433" s="209"/>
      <c r="D433" s="209"/>
      <c r="E433" s="209"/>
      <c r="F433" s="209"/>
      <c r="G433" s="209"/>
      <c r="H433" s="209"/>
      <c r="I433" s="209"/>
      <c r="J433" s="209"/>
      <c r="K433" s="209"/>
      <c r="L433" s="209"/>
      <c r="M433" s="209"/>
      <c r="N433" s="209"/>
      <c r="O433" s="209"/>
    </row>
    <row r="434">
      <c r="B434" s="209"/>
      <c r="C434" s="209"/>
      <c r="D434" s="209"/>
      <c r="E434" s="209"/>
      <c r="F434" s="209"/>
      <c r="G434" s="209"/>
      <c r="H434" s="209"/>
      <c r="I434" s="209"/>
      <c r="J434" s="209"/>
      <c r="K434" s="209"/>
      <c r="L434" s="209"/>
      <c r="M434" s="209"/>
      <c r="N434" s="209"/>
      <c r="O434" s="209"/>
    </row>
    <row r="435">
      <c r="B435" s="209"/>
      <c r="C435" s="209"/>
      <c r="D435" s="209"/>
      <c r="E435" s="209"/>
      <c r="F435" s="209"/>
      <c r="G435" s="209"/>
      <c r="H435" s="209"/>
      <c r="I435" s="209"/>
      <c r="J435" s="209"/>
      <c r="K435" s="209"/>
      <c r="L435" s="209"/>
      <c r="M435" s="209"/>
      <c r="N435" s="209"/>
      <c r="O435" s="209"/>
    </row>
    <row r="436">
      <c r="B436" s="209"/>
      <c r="C436" s="209"/>
      <c r="D436" s="209"/>
      <c r="E436" s="209"/>
      <c r="F436" s="209"/>
      <c r="G436" s="209"/>
      <c r="H436" s="209"/>
      <c r="I436" s="209"/>
      <c r="J436" s="209"/>
      <c r="K436" s="209"/>
      <c r="L436" s="209"/>
      <c r="M436" s="209"/>
      <c r="N436" s="209"/>
      <c r="O436" s="209"/>
    </row>
    <row r="437">
      <c r="B437" s="209"/>
      <c r="C437" s="209"/>
      <c r="D437" s="209"/>
      <c r="E437" s="209"/>
      <c r="F437" s="209"/>
      <c r="G437" s="209"/>
      <c r="H437" s="209"/>
      <c r="I437" s="209"/>
      <c r="J437" s="209"/>
      <c r="K437" s="209"/>
      <c r="L437" s="209"/>
      <c r="M437" s="209"/>
      <c r="N437" s="209"/>
      <c r="O437" s="209"/>
    </row>
    <row r="438">
      <c r="B438" s="209"/>
      <c r="C438" s="209"/>
      <c r="D438" s="209"/>
      <c r="E438" s="209"/>
      <c r="F438" s="209"/>
      <c r="G438" s="209"/>
      <c r="H438" s="209"/>
      <c r="I438" s="209"/>
      <c r="J438" s="209"/>
      <c r="K438" s="209"/>
      <c r="L438" s="209"/>
      <c r="M438" s="209"/>
      <c r="N438" s="209"/>
      <c r="O438" s="209"/>
    </row>
    <row r="439">
      <c r="B439" s="209"/>
      <c r="C439" s="209"/>
      <c r="D439" s="209"/>
      <c r="E439" s="209"/>
      <c r="F439" s="209"/>
      <c r="G439" s="209"/>
      <c r="H439" s="209"/>
      <c r="I439" s="209"/>
      <c r="J439" s="209"/>
      <c r="K439" s="209"/>
      <c r="L439" s="209"/>
      <c r="M439" s="209"/>
      <c r="N439" s="209"/>
      <c r="O439" s="209"/>
    </row>
    <row r="440">
      <c r="B440" s="209"/>
      <c r="C440" s="209"/>
      <c r="D440" s="209"/>
      <c r="E440" s="209"/>
      <c r="F440" s="209"/>
      <c r="G440" s="209"/>
      <c r="H440" s="209"/>
      <c r="I440" s="209"/>
      <c r="J440" s="209"/>
      <c r="K440" s="209"/>
      <c r="L440" s="209"/>
      <c r="M440" s="209"/>
      <c r="N440" s="209"/>
      <c r="O440" s="209"/>
    </row>
    <row r="441">
      <c r="B441" s="209"/>
      <c r="C441" s="209"/>
      <c r="D441" s="209"/>
      <c r="E441" s="209"/>
      <c r="F441" s="209"/>
      <c r="G441" s="209"/>
      <c r="H441" s="209"/>
      <c r="I441" s="209"/>
      <c r="J441" s="209"/>
      <c r="K441" s="209"/>
      <c r="L441" s="209"/>
      <c r="M441" s="209"/>
      <c r="N441" s="209"/>
      <c r="O441" s="209"/>
    </row>
    <row r="442">
      <c r="B442" s="209"/>
      <c r="C442" s="209"/>
      <c r="D442" s="209"/>
      <c r="E442" s="209"/>
      <c r="F442" s="209"/>
      <c r="G442" s="209"/>
      <c r="H442" s="209"/>
      <c r="I442" s="209"/>
      <c r="J442" s="209"/>
      <c r="K442" s="209"/>
      <c r="L442" s="209"/>
      <c r="M442" s="209"/>
      <c r="N442" s="209"/>
      <c r="O442" s="209"/>
    </row>
    <row r="443">
      <c r="B443" s="209"/>
      <c r="C443" s="209"/>
      <c r="D443" s="209"/>
      <c r="E443" s="209"/>
      <c r="F443" s="209"/>
      <c r="G443" s="209"/>
      <c r="H443" s="209"/>
      <c r="I443" s="209"/>
      <c r="J443" s="209"/>
      <c r="K443" s="209"/>
      <c r="L443" s="209"/>
      <c r="M443" s="209"/>
      <c r="N443" s="209"/>
      <c r="O443" s="209"/>
    </row>
    <row r="444">
      <c r="B444" s="209"/>
      <c r="C444" s="209"/>
      <c r="D444" s="209"/>
      <c r="E444" s="209"/>
      <c r="F444" s="209"/>
      <c r="G444" s="209"/>
      <c r="H444" s="209"/>
      <c r="I444" s="209"/>
      <c r="J444" s="209"/>
      <c r="K444" s="209"/>
      <c r="L444" s="209"/>
      <c r="M444" s="209"/>
      <c r="N444" s="209"/>
      <c r="O444" s="209"/>
    </row>
    <row r="445">
      <c r="B445" s="209"/>
      <c r="C445" s="209"/>
      <c r="D445" s="209"/>
      <c r="E445" s="209"/>
      <c r="F445" s="209"/>
      <c r="G445" s="209"/>
      <c r="H445" s="209"/>
      <c r="I445" s="209"/>
      <c r="J445" s="209"/>
      <c r="K445" s="209"/>
      <c r="L445" s="209"/>
      <c r="M445" s="209"/>
      <c r="N445" s="209"/>
      <c r="O445" s="209"/>
    </row>
    <row r="446">
      <c r="B446" s="209"/>
      <c r="C446" s="209"/>
      <c r="D446" s="209"/>
      <c r="E446" s="209"/>
      <c r="F446" s="209"/>
      <c r="G446" s="209"/>
      <c r="H446" s="209"/>
      <c r="I446" s="209"/>
      <c r="J446" s="209"/>
      <c r="K446" s="209"/>
      <c r="L446" s="209"/>
      <c r="M446" s="209"/>
      <c r="N446" s="209"/>
      <c r="O446" s="209"/>
    </row>
    <row r="447">
      <c r="B447" s="209"/>
      <c r="C447" s="209"/>
      <c r="D447" s="209"/>
      <c r="E447" s="209"/>
      <c r="F447" s="209"/>
      <c r="G447" s="209"/>
      <c r="H447" s="209"/>
      <c r="I447" s="209"/>
      <c r="J447" s="209"/>
      <c r="K447" s="209"/>
      <c r="L447" s="209"/>
      <c r="M447" s="209"/>
      <c r="N447" s="209"/>
      <c r="O447" s="209"/>
    </row>
    <row r="448">
      <c r="B448" s="209"/>
      <c r="C448" s="209"/>
      <c r="D448" s="209"/>
      <c r="E448" s="209"/>
      <c r="F448" s="209"/>
      <c r="G448" s="209"/>
      <c r="H448" s="209"/>
      <c r="I448" s="209"/>
      <c r="J448" s="209"/>
      <c r="K448" s="209"/>
      <c r="L448" s="209"/>
      <c r="M448" s="209"/>
      <c r="N448" s="209"/>
      <c r="O448" s="209"/>
    </row>
    <row r="449">
      <c r="B449" s="209"/>
      <c r="C449" s="209"/>
      <c r="D449" s="209"/>
      <c r="E449" s="209"/>
      <c r="F449" s="209"/>
      <c r="G449" s="209"/>
      <c r="H449" s="209"/>
      <c r="I449" s="209"/>
      <c r="J449" s="209"/>
      <c r="K449" s="209"/>
      <c r="L449" s="209"/>
      <c r="M449" s="209"/>
      <c r="N449" s="209"/>
      <c r="O449" s="209"/>
    </row>
    <row r="450">
      <c r="B450" s="209"/>
      <c r="C450" s="209"/>
      <c r="D450" s="209"/>
      <c r="E450" s="209"/>
      <c r="F450" s="209"/>
      <c r="G450" s="209"/>
      <c r="H450" s="209"/>
      <c r="I450" s="209"/>
      <c r="J450" s="209"/>
      <c r="K450" s="209"/>
      <c r="L450" s="209"/>
      <c r="M450" s="209"/>
      <c r="N450" s="209"/>
      <c r="O450" s="209"/>
    </row>
    <row r="451">
      <c r="B451" s="209"/>
      <c r="C451" s="209"/>
      <c r="D451" s="209"/>
      <c r="E451" s="209"/>
      <c r="F451" s="209"/>
      <c r="G451" s="209"/>
      <c r="H451" s="209"/>
      <c r="I451" s="209"/>
      <c r="J451" s="209"/>
      <c r="K451" s="209"/>
      <c r="L451" s="209"/>
      <c r="M451" s="209"/>
      <c r="N451" s="209"/>
      <c r="O451" s="209"/>
    </row>
    <row r="452">
      <c r="B452" s="209"/>
      <c r="C452" s="209"/>
      <c r="D452" s="209"/>
      <c r="E452" s="209"/>
      <c r="F452" s="209"/>
      <c r="G452" s="209"/>
      <c r="H452" s="209"/>
      <c r="I452" s="209"/>
      <c r="J452" s="209"/>
      <c r="K452" s="209"/>
      <c r="L452" s="209"/>
      <c r="M452" s="209"/>
      <c r="N452" s="209"/>
      <c r="O452" s="209"/>
    </row>
    <row r="453">
      <c r="B453" s="209"/>
      <c r="C453" s="209"/>
      <c r="D453" s="209"/>
      <c r="E453" s="209"/>
      <c r="F453" s="209"/>
      <c r="G453" s="209"/>
      <c r="H453" s="209"/>
      <c r="I453" s="209"/>
      <c r="J453" s="209"/>
      <c r="K453" s="209"/>
      <c r="L453" s="209"/>
      <c r="M453" s="209"/>
      <c r="N453" s="209"/>
      <c r="O453" s="209"/>
    </row>
    <row r="454">
      <c r="B454" s="209"/>
      <c r="C454" s="209"/>
      <c r="D454" s="209"/>
      <c r="E454" s="209"/>
      <c r="F454" s="209"/>
      <c r="G454" s="209"/>
      <c r="H454" s="209"/>
      <c r="I454" s="209"/>
      <c r="J454" s="209"/>
      <c r="K454" s="209"/>
      <c r="L454" s="209"/>
      <c r="M454" s="209"/>
      <c r="N454" s="209"/>
      <c r="O454" s="209"/>
    </row>
    <row r="455">
      <c r="B455" s="209"/>
      <c r="C455" s="209"/>
      <c r="D455" s="209"/>
      <c r="E455" s="209"/>
      <c r="F455" s="209"/>
      <c r="G455" s="209"/>
      <c r="H455" s="209"/>
      <c r="I455" s="209"/>
      <c r="J455" s="209"/>
      <c r="K455" s="209"/>
      <c r="L455" s="209"/>
      <c r="M455" s="209"/>
      <c r="N455" s="209"/>
      <c r="O455" s="209"/>
    </row>
    <row r="456">
      <c r="B456" s="209"/>
      <c r="C456" s="209"/>
      <c r="D456" s="209"/>
      <c r="E456" s="209"/>
      <c r="F456" s="209"/>
      <c r="G456" s="209"/>
      <c r="H456" s="209"/>
      <c r="I456" s="209"/>
      <c r="J456" s="209"/>
      <c r="K456" s="209"/>
      <c r="L456" s="209"/>
      <c r="M456" s="209"/>
      <c r="N456" s="209"/>
      <c r="O456" s="209"/>
    </row>
    <row r="457">
      <c r="B457" s="209"/>
      <c r="C457" s="209"/>
      <c r="D457" s="209"/>
      <c r="E457" s="209"/>
      <c r="F457" s="209"/>
      <c r="G457" s="209"/>
      <c r="H457" s="209"/>
      <c r="I457" s="209"/>
      <c r="J457" s="209"/>
      <c r="K457" s="209"/>
      <c r="L457" s="209"/>
      <c r="M457" s="209"/>
      <c r="N457" s="209"/>
      <c r="O457" s="209"/>
    </row>
    <row r="458">
      <c r="B458" s="209"/>
      <c r="C458" s="209"/>
      <c r="D458" s="209"/>
      <c r="E458" s="209"/>
      <c r="F458" s="209"/>
      <c r="G458" s="209"/>
      <c r="H458" s="209"/>
      <c r="I458" s="209"/>
      <c r="J458" s="209"/>
      <c r="K458" s="209"/>
      <c r="L458" s="209"/>
      <c r="M458" s="209"/>
      <c r="N458" s="209"/>
      <c r="O458" s="209"/>
    </row>
    <row r="459">
      <c r="B459" s="209"/>
      <c r="C459" s="209"/>
      <c r="D459" s="209"/>
      <c r="E459" s="209"/>
      <c r="F459" s="209"/>
      <c r="G459" s="209"/>
      <c r="H459" s="209"/>
      <c r="I459" s="209"/>
      <c r="J459" s="209"/>
      <c r="K459" s="209"/>
      <c r="L459" s="209"/>
      <c r="M459" s="209"/>
      <c r="N459" s="209"/>
      <c r="O459" s="209"/>
    </row>
    <row r="460">
      <c r="B460" s="209"/>
      <c r="C460" s="209"/>
      <c r="D460" s="209"/>
      <c r="E460" s="209"/>
      <c r="F460" s="209"/>
      <c r="G460" s="209"/>
      <c r="H460" s="209"/>
      <c r="I460" s="209"/>
      <c r="J460" s="209"/>
      <c r="K460" s="209"/>
      <c r="L460" s="209"/>
      <c r="M460" s="209"/>
      <c r="N460" s="209"/>
      <c r="O460" s="209"/>
    </row>
    <row r="461">
      <c r="B461" s="209"/>
      <c r="C461" s="209"/>
      <c r="D461" s="209"/>
      <c r="E461" s="209"/>
      <c r="F461" s="209"/>
      <c r="G461" s="209"/>
      <c r="H461" s="209"/>
      <c r="I461" s="209"/>
      <c r="J461" s="209"/>
      <c r="K461" s="209"/>
      <c r="L461" s="209"/>
      <c r="M461" s="209"/>
      <c r="N461" s="209"/>
      <c r="O461" s="209"/>
    </row>
    <row r="462">
      <c r="B462" s="209"/>
      <c r="C462" s="209"/>
      <c r="D462" s="209"/>
      <c r="E462" s="209"/>
      <c r="F462" s="209"/>
      <c r="G462" s="209"/>
      <c r="H462" s="209"/>
      <c r="I462" s="209"/>
      <c r="J462" s="209"/>
      <c r="K462" s="209"/>
      <c r="L462" s="209"/>
      <c r="M462" s="209"/>
      <c r="N462" s="209"/>
      <c r="O462" s="209"/>
    </row>
    <row r="463">
      <c r="B463" s="209"/>
      <c r="C463" s="209"/>
      <c r="D463" s="209"/>
      <c r="E463" s="209"/>
      <c r="F463" s="209"/>
      <c r="G463" s="209"/>
      <c r="H463" s="209"/>
      <c r="I463" s="209"/>
      <c r="J463" s="209"/>
      <c r="K463" s="209"/>
      <c r="L463" s="209"/>
      <c r="M463" s="209"/>
      <c r="N463" s="209"/>
      <c r="O463" s="209"/>
    </row>
    <row r="464">
      <c r="B464" s="209"/>
      <c r="C464" s="209"/>
      <c r="D464" s="209"/>
      <c r="E464" s="209"/>
      <c r="F464" s="209"/>
      <c r="G464" s="209"/>
      <c r="H464" s="209"/>
      <c r="I464" s="209"/>
      <c r="J464" s="209"/>
      <c r="K464" s="209"/>
      <c r="L464" s="209"/>
      <c r="M464" s="209"/>
      <c r="N464" s="209"/>
      <c r="O464" s="209"/>
    </row>
    <row r="465">
      <c r="B465" s="209"/>
      <c r="C465" s="209"/>
      <c r="D465" s="209"/>
      <c r="E465" s="209"/>
      <c r="F465" s="209"/>
      <c r="G465" s="209"/>
      <c r="H465" s="209"/>
      <c r="I465" s="209"/>
      <c r="J465" s="209"/>
      <c r="K465" s="209"/>
      <c r="L465" s="209"/>
      <c r="M465" s="209"/>
      <c r="N465" s="209"/>
      <c r="O465" s="209"/>
    </row>
    <row r="466">
      <c r="B466" s="209"/>
      <c r="C466" s="209"/>
      <c r="D466" s="209"/>
      <c r="E466" s="209"/>
      <c r="F466" s="209"/>
      <c r="G466" s="209"/>
      <c r="H466" s="209"/>
      <c r="I466" s="209"/>
      <c r="J466" s="209"/>
      <c r="K466" s="209"/>
      <c r="L466" s="209"/>
      <c r="M466" s="209"/>
      <c r="N466" s="209"/>
      <c r="O466" s="209"/>
    </row>
    <row r="467">
      <c r="B467" s="209"/>
      <c r="C467" s="209"/>
      <c r="D467" s="209"/>
      <c r="E467" s="209"/>
      <c r="F467" s="209"/>
      <c r="G467" s="209"/>
      <c r="H467" s="209"/>
      <c r="I467" s="209"/>
      <c r="J467" s="209"/>
      <c r="K467" s="209"/>
      <c r="L467" s="209"/>
      <c r="M467" s="209"/>
      <c r="N467" s="209"/>
      <c r="O467" s="209"/>
    </row>
    <row r="468">
      <c r="B468" s="209"/>
      <c r="C468" s="209"/>
      <c r="D468" s="209"/>
      <c r="E468" s="209"/>
      <c r="F468" s="209"/>
      <c r="G468" s="209"/>
      <c r="H468" s="209"/>
      <c r="I468" s="209"/>
      <c r="J468" s="209"/>
      <c r="K468" s="209"/>
      <c r="L468" s="209"/>
      <c r="M468" s="209"/>
      <c r="N468" s="209"/>
      <c r="O468" s="209"/>
    </row>
    <row r="469">
      <c r="B469" s="209"/>
      <c r="C469" s="209"/>
      <c r="D469" s="209"/>
      <c r="E469" s="209"/>
      <c r="F469" s="209"/>
      <c r="G469" s="209"/>
      <c r="H469" s="209"/>
      <c r="I469" s="209"/>
      <c r="J469" s="209"/>
      <c r="K469" s="209"/>
      <c r="L469" s="209"/>
      <c r="M469" s="209"/>
      <c r="N469" s="209"/>
      <c r="O469" s="209"/>
    </row>
    <row r="470">
      <c r="B470" s="209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09"/>
      <c r="O470" s="209"/>
    </row>
    <row r="471">
      <c r="B471" s="209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09"/>
      <c r="O471" s="209"/>
    </row>
    <row r="472">
      <c r="B472" s="209"/>
      <c r="C472" s="209"/>
      <c r="D472" s="209"/>
      <c r="E472" s="209"/>
      <c r="F472" s="209"/>
      <c r="G472" s="209"/>
      <c r="H472" s="209"/>
      <c r="I472" s="209"/>
      <c r="J472" s="209"/>
      <c r="K472" s="209"/>
      <c r="L472" s="209"/>
      <c r="M472" s="209"/>
      <c r="N472" s="209"/>
      <c r="O472" s="209"/>
    </row>
    <row r="473">
      <c r="B473" s="209"/>
      <c r="C473" s="209"/>
      <c r="D473" s="209"/>
      <c r="E473" s="209"/>
      <c r="F473" s="209"/>
      <c r="G473" s="209"/>
      <c r="H473" s="209"/>
      <c r="I473" s="209"/>
      <c r="J473" s="209"/>
      <c r="K473" s="209"/>
      <c r="L473" s="209"/>
      <c r="M473" s="209"/>
      <c r="N473" s="209"/>
      <c r="O473" s="209"/>
    </row>
    <row r="474">
      <c r="B474" s="209"/>
      <c r="C474" s="209"/>
      <c r="D474" s="209"/>
      <c r="E474" s="209"/>
      <c r="F474" s="209"/>
      <c r="G474" s="209"/>
      <c r="H474" s="209"/>
      <c r="I474" s="209"/>
      <c r="J474" s="209"/>
      <c r="K474" s="209"/>
      <c r="L474" s="209"/>
      <c r="M474" s="209"/>
      <c r="N474" s="209"/>
      <c r="O474" s="209"/>
    </row>
    <row r="475">
      <c r="B475" s="209"/>
      <c r="C475" s="209"/>
      <c r="D475" s="209"/>
      <c r="E475" s="209"/>
      <c r="F475" s="209"/>
      <c r="G475" s="209"/>
      <c r="H475" s="209"/>
      <c r="I475" s="209"/>
      <c r="J475" s="209"/>
      <c r="K475" s="209"/>
      <c r="L475" s="209"/>
      <c r="M475" s="209"/>
      <c r="N475" s="209"/>
      <c r="O475" s="209"/>
    </row>
    <row r="476">
      <c r="B476" s="209"/>
      <c r="C476" s="209"/>
      <c r="D476" s="209"/>
      <c r="E476" s="209"/>
      <c r="F476" s="209"/>
      <c r="G476" s="209"/>
      <c r="H476" s="209"/>
      <c r="I476" s="209"/>
      <c r="J476" s="209"/>
      <c r="K476" s="209"/>
      <c r="L476" s="209"/>
      <c r="M476" s="209"/>
      <c r="N476" s="209"/>
      <c r="O476" s="209"/>
    </row>
    <row r="477">
      <c r="B477" s="209"/>
      <c r="C477" s="209"/>
      <c r="D477" s="209"/>
      <c r="E477" s="209"/>
      <c r="F477" s="209"/>
      <c r="G477" s="209"/>
      <c r="H477" s="209"/>
      <c r="I477" s="209"/>
      <c r="J477" s="209"/>
      <c r="K477" s="209"/>
      <c r="L477" s="209"/>
      <c r="M477" s="209"/>
      <c r="N477" s="209"/>
      <c r="O477" s="209"/>
    </row>
    <row r="478">
      <c r="B478" s="209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09"/>
      <c r="O478" s="209"/>
    </row>
    <row r="479">
      <c r="B479" s="209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09"/>
      <c r="O479" s="209"/>
    </row>
    <row r="480">
      <c r="B480" s="209"/>
      <c r="C480" s="209"/>
      <c r="D480" s="209"/>
      <c r="E480" s="209"/>
      <c r="F480" s="209"/>
      <c r="G480" s="209"/>
      <c r="H480" s="209"/>
      <c r="I480" s="209"/>
      <c r="J480" s="209"/>
      <c r="K480" s="209"/>
      <c r="L480" s="209"/>
      <c r="M480" s="209"/>
      <c r="N480" s="209"/>
      <c r="O480" s="209"/>
    </row>
    <row r="481">
      <c r="B481" s="209"/>
      <c r="C481" s="209"/>
      <c r="D481" s="209"/>
      <c r="E481" s="209"/>
      <c r="F481" s="209"/>
      <c r="G481" s="209"/>
      <c r="H481" s="209"/>
      <c r="I481" s="209"/>
      <c r="J481" s="209"/>
      <c r="K481" s="209"/>
      <c r="L481" s="209"/>
      <c r="M481" s="209"/>
      <c r="N481" s="209"/>
      <c r="O481" s="209"/>
    </row>
    <row r="482">
      <c r="B482" s="209"/>
      <c r="C482" s="209"/>
      <c r="D482" s="209"/>
      <c r="E482" s="209"/>
      <c r="F482" s="209"/>
      <c r="G482" s="209"/>
      <c r="H482" s="209"/>
      <c r="I482" s="209"/>
      <c r="J482" s="209"/>
      <c r="K482" s="209"/>
      <c r="L482" s="209"/>
      <c r="M482" s="209"/>
      <c r="N482" s="209"/>
      <c r="O482" s="209"/>
    </row>
    <row r="483">
      <c r="B483" s="209"/>
      <c r="C483" s="209"/>
      <c r="D483" s="209"/>
      <c r="E483" s="209"/>
      <c r="F483" s="209"/>
      <c r="G483" s="209"/>
      <c r="H483" s="209"/>
      <c r="I483" s="209"/>
      <c r="J483" s="209"/>
      <c r="K483" s="209"/>
      <c r="L483" s="209"/>
      <c r="M483" s="209"/>
      <c r="N483" s="209"/>
      <c r="O483" s="209"/>
    </row>
    <row r="484">
      <c r="B484" s="209"/>
      <c r="C484" s="209"/>
      <c r="D484" s="209"/>
      <c r="E484" s="209"/>
      <c r="F484" s="209"/>
      <c r="G484" s="209"/>
      <c r="H484" s="209"/>
      <c r="I484" s="209"/>
      <c r="J484" s="209"/>
      <c r="K484" s="209"/>
      <c r="L484" s="209"/>
      <c r="M484" s="209"/>
      <c r="N484" s="209"/>
      <c r="O484" s="209"/>
    </row>
    <row r="485">
      <c r="B485" s="209"/>
      <c r="C485" s="209"/>
      <c r="D485" s="209"/>
      <c r="E485" s="209"/>
      <c r="F485" s="209"/>
      <c r="G485" s="209"/>
      <c r="H485" s="209"/>
      <c r="I485" s="209"/>
      <c r="J485" s="209"/>
      <c r="K485" s="209"/>
      <c r="L485" s="209"/>
      <c r="M485" s="209"/>
      <c r="N485" s="209"/>
      <c r="O485" s="209"/>
    </row>
    <row r="486">
      <c r="B486" s="209"/>
      <c r="C486" s="209"/>
      <c r="D486" s="209"/>
      <c r="E486" s="209"/>
      <c r="F486" s="209"/>
      <c r="G486" s="209"/>
      <c r="H486" s="209"/>
      <c r="I486" s="209"/>
      <c r="J486" s="209"/>
      <c r="K486" s="209"/>
      <c r="L486" s="209"/>
      <c r="M486" s="209"/>
      <c r="N486" s="209"/>
      <c r="O486" s="209"/>
    </row>
    <row r="487">
      <c r="B487" s="209"/>
      <c r="C487" s="209"/>
      <c r="D487" s="209"/>
      <c r="E487" s="209"/>
      <c r="F487" s="209"/>
      <c r="G487" s="209"/>
      <c r="H487" s="209"/>
      <c r="I487" s="209"/>
      <c r="J487" s="209"/>
      <c r="K487" s="209"/>
      <c r="L487" s="209"/>
      <c r="M487" s="209"/>
      <c r="N487" s="209"/>
      <c r="O487" s="209"/>
    </row>
    <row r="488">
      <c r="B488" s="209"/>
      <c r="C488" s="209"/>
      <c r="D488" s="209"/>
      <c r="E488" s="209"/>
      <c r="F488" s="209"/>
      <c r="G488" s="209"/>
      <c r="H488" s="209"/>
      <c r="I488" s="209"/>
      <c r="J488" s="209"/>
      <c r="K488" s="209"/>
      <c r="L488" s="209"/>
      <c r="M488" s="209"/>
      <c r="N488" s="209"/>
      <c r="O488" s="209"/>
    </row>
    <row r="489">
      <c r="B489" s="209"/>
      <c r="C489" s="209"/>
      <c r="D489" s="209"/>
      <c r="E489" s="209"/>
      <c r="F489" s="209"/>
      <c r="G489" s="209"/>
      <c r="H489" s="209"/>
      <c r="I489" s="209"/>
      <c r="J489" s="209"/>
      <c r="K489" s="209"/>
      <c r="L489" s="209"/>
      <c r="M489" s="209"/>
      <c r="N489" s="209"/>
      <c r="O489" s="209"/>
    </row>
    <row r="490">
      <c r="B490" s="209"/>
      <c r="C490" s="209"/>
      <c r="D490" s="209"/>
      <c r="E490" s="209"/>
      <c r="F490" s="209"/>
      <c r="G490" s="209"/>
      <c r="H490" s="209"/>
      <c r="I490" s="209"/>
      <c r="J490" s="209"/>
      <c r="K490" s="209"/>
      <c r="L490" s="209"/>
      <c r="M490" s="209"/>
      <c r="N490" s="209"/>
      <c r="O490" s="209"/>
    </row>
    <row r="491">
      <c r="B491" s="209"/>
      <c r="C491" s="209"/>
      <c r="D491" s="209"/>
      <c r="E491" s="209"/>
      <c r="F491" s="209"/>
      <c r="G491" s="209"/>
      <c r="H491" s="209"/>
      <c r="I491" s="209"/>
      <c r="J491" s="209"/>
      <c r="K491" s="209"/>
      <c r="L491" s="209"/>
      <c r="M491" s="209"/>
      <c r="N491" s="209"/>
      <c r="O491" s="209"/>
    </row>
    <row r="492">
      <c r="B492" s="209"/>
      <c r="C492" s="209"/>
      <c r="D492" s="209"/>
      <c r="E492" s="209"/>
      <c r="F492" s="209"/>
      <c r="G492" s="209"/>
      <c r="H492" s="209"/>
      <c r="I492" s="209"/>
      <c r="J492" s="209"/>
      <c r="K492" s="209"/>
      <c r="L492" s="209"/>
      <c r="M492" s="209"/>
      <c r="N492" s="209"/>
      <c r="O492" s="209"/>
    </row>
    <row r="493">
      <c r="B493" s="209"/>
      <c r="C493" s="209"/>
      <c r="D493" s="209"/>
      <c r="E493" s="209"/>
      <c r="F493" s="209"/>
      <c r="G493" s="209"/>
      <c r="H493" s="209"/>
      <c r="I493" s="209"/>
      <c r="J493" s="209"/>
      <c r="K493" s="209"/>
      <c r="L493" s="209"/>
      <c r="M493" s="209"/>
      <c r="N493" s="209"/>
      <c r="O493" s="209"/>
    </row>
    <row r="494">
      <c r="B494" s="209"/>
      <c r="C494" s="209"/>
      <c r="D494" s="209"/>
      <c r="E494" s="209"/>
      <c r="F494" s="209"/>
      <c r="G494" s="209"/>
      <c r="H494" s="209"/>
      <c r="I494" s="209"/>
      <c r="J494" s="209"/>
      <c r="K494" s="209"/>
      <c r="L494" s="209"/>
      <c r="M494" s="209"/>
      <c r="N494" s="209"/>
      <c r="O494" s="209"/>
    </row>
    <row r="495">
      <c r="B495" s="209"/>
      <c r="C495" s="209"/>
      <c r="D495" s="209"/>
      <c r="E495" s="209"/>
      <c r="F495" s="209"/>
      <c r="G495" s="209"/>
      <c r="H495" s="209"/>
      <c r="I495" s="209"/>
      <c r="J495" s="209"/>
      <c r="K495" s="209"/>
      <c r="L495" s="209"/>
      <c r="M495" s="209"/>
      <c r="N495" s="209"/>
      <c r="O495" s="209"/>
    </row>
    <row r="496">
      <c r="B496" s="209"/>
      <c r="C496" s="209"/>
      <c r="D496" s="209"/>
      <c r="E496" s="209"/>
      <c r="F496" s="209"/>
      <c r="G496" s="209"/>
      <c r="H496" s="209"/>
      <c r="I496" s="209"/>
      <c r="J496" s="209"/>
      <c r="K496" s="209"/>
      <c r="L496" s="209"/>
      <c r="M496" s="209"/>
      <c r="N496" s="209"/>
      <c r="O496" s="209"/>
    </row>
    <row r="497">
      <c r="B497" s="209"/>
      <c r="C497" s="209"/>
      <c r="D497" s="209"/>
      <c r="E497" s="209"/>
      <c r="F497" s="209"/>
      <c r="G497" s="209"/>
      <c r="H497" s="209"/>
      <c r="I497" s="209"/>
      <c r="J497" s="209"/>
      <c r="K497" s="209"/>
      <c r="L497" s="209"/>
      <c r="M497" s="209"/>
      <c r="N497" s="209"/>
      <c r="O497" s="209"/>
    </row>
    <row r="498">
      <c r="B498" s="209"/>
      <c r="C498" s="209"/>
      <c r="D498" s="209"/>
      <c r="E498" s="209"/>
      <c r="F498" s="209"/>
      <c r="G498" s="209"/>
      <c r="H498" s="209"/>
      <c r="I498" s="209"/>
      <c r="J498" s="209"/>
      <c r="K498" s="209"/>
      <c r="L498" s="209"/>
      <c r="M498" s="209"/>
      <c r="N498" s="209"/>
      <c r="O498" s="209"/>
    </row>
    <row r="499">
      <c r="B499" s="209"/>
      <c r="C499" s="209"/>
      <c r="D499" s="209"/>
      <c r="E499" s="209"/>
      <c r="F499" s="209"/>
      <c r="G499" s="209"/>
      <c r="H499" s="209"/>
      <c r="I499" s="209"/>
      <c r="J499" s="209"/>
      <c r="K499" s="209"/>
      <c r="L499" s="209"/>
      <c r="M499" s="209"/>
      <c r="N499" s="209"/>
      <c r="O499" s="209"/>
    </row>
    <row r="500">
      <c r="B500" s="209"/>
      <c r="C500" s="209"/>
      <c r="D500" s="209"/>
      <c r="E500" s="209"/>
      <c r="F500" s="209"/>
      <c r="G500" s="209"/>
      <c r="H500" s="209"/>
      <c r="I500" s="209"/>
      <c r="J500" s="209"/>
      <c r="K500" s="209"/>
      <c r="L500" s="209"/>
      <c r="M500" s="209"/>
      <c r="N500" s="209"/>
      <c r="O500" s="209"/>
    </row>
    <row r="501">
      <c r="B501" s="209"/>
      <c r="C501" s="209"/>
      <c r="D501" s="209"/>
      <c r="E501" s="209"/>
      <c r="F501" s="209"/>
      <c r="G501" s="209"/>
      <c r="H501" s="209"/>
      <c r="I501" s="209"/>
      <c r="J501" s="209"/>
      <c r="K501" s="209"/>
      <c r="L501" s="209"/>
      <c r="M501" s="209"/>
      <c r="N501" s="209"/>
      <c r="O501" s="209"/>
    </row>
    <row r="502">
      <c r="B502" s="209"/>
      <c r="C502" s="209"/>
      <c r="D502" s="209"/>
      <c r="E502" s="209"/>
      <c r="F502" s="209"/>
      <c r="G502" s="209"/>
      <c r="H502" s="209"/>
      <c r="I502" s="209"/>
      <c r="J502" s="209"/>
      <c r="K502" s="209"/>
      <c r="L502" s="209"/>
      <c r="M502" s="209"/>
      <c r="N502" s="209"/>
      <c r="O502" s="209"/>
    </row>
    <row r="503">
      <c r="B503" s="209"/>
      <c r="C503" s="209"/>
      <c r="D503" s="209"/>
      <c r="E503" s="209"/>
      <c r="F503" s="209"/>
      <c r="G503" s="209"/>
      <c r="H503" s="209"/>
      <c r="I503" s="209"/>
      <c r="J503" s="209"/>
      <c r="K503" s="209"/>
      <c r="L503" s="209"/>
      <c r="M503" s="209"/>
      <c r="N503" s="209"/>
      <c r="O503" s="209"/>
    </row>
    <row r="504">
      <c r="B504" s="209"/>
      <c r="C504" s="209"/>
      <c r="D504" s="209"/>
      <c r="E504" s="209"/>
      <c r="F504" s="209"/>
      <c r="G504" s="209"/>
      <c r="H504" s="209"/>
      <c r="I504" s="209"/>
      <c r="J504" s="209"/>
      <c r="K504" s="209"/>
      <c r="L504" s="209"/>
      <c r="M504" s="209"/>
      <c r="N504" s="209"/>
      <c r="O504" s="209"/>
    </row>
    <row r="505">
      <c r="B505" s="209"/>
      <c r="C505" s="209"/>
      <c r="D505" s="209"/>
      <c r="E505" s="209"/>
      <c r="F505" s="209"/>
      <c r="G505" s="209"/>
      <c r="H505" s="209"/>
      <c r="I505" s="209"/>
      <c r="J505" s="209"/>
      <c r="K505" s="209"/>
      <c r="L505" s="209"/>
      <c r="M505" s="209"/>
      <c r="N505" s="209"/>
      <c r="O505" s="209"/>
    </row>
    <row r="506">
      <c r="B506" s="209"/>
      <c r="C506" s="209"/>
      <c r="D506" s="209"/>
      <c r="E506" s="209"/>
      <c r="F506" s="209"/>
      <c r="G506" s="209"/>
      <c r="H506" s="209"/>
      <c r="I506" s="209"/>
      <c r="J506" s="209"/>
      <c r="K506" s="209"/>
      <c r="L506" s="209"/>
      <c r="M506" s="209"/>
      <c r="N506" s="209"/>
      <c r="O506" s="209"/>
    </row>
    <row r="507">
      <c r="B507" s="209"/>
      <c r="C507" s="209"/>
      <c r="D507" s="209"/>
      <c r="E507" s="209"/>
      <c r="F507" s="209"/>
      <c r="G507" s="209"/>
      <c r="H507" s="209"/>
      <c r="I507" s="209"/>
      <c r="J507" s="209"/>
      <c r="K507" s="209"/>
      <c r="L507" s="209"/>
      <c r="M507" s="209"/>
      <c r="N507" s="209"/>
      <c r="O507" s="209"/>
    </row>
    <row r="508">
      <c r="B508" s="209"/>
      <c r="C508" s="209"/>
      <c r="D508" s="209"/>
      <c r="E508" s="209"/>
      <c r="F508" s="209"/>
      <c r="G508" s="209"/>
      <c r="H508" s="209"/>
      <c r="I508" s="209"/>
      <c r="J508" s="209"/>
      <c r="K508" s="209"/>
      <c r="L508" s="209"/>
      <c r="M508" s="209"/>
      <c r="N508" s="209"/>
      <c r="O508" s="209"/>
    </row>
    <row r="509">
      <c r="B509" s="209"/>
      <c r="C509" s="209"/>
      <c r="D509" s="209"/>
      <c r="E509" s="209"/>
      <c r="F509" s="209"/>
      <c r="G509" s="209"/>
      <c r="H509" s="209"/>
      <c r="I509" s="209"/>
      <c r="J509" s="209"/>
      <c r="K509" s="209"/>
      <c r="L509" s="209"/>
      <c r="M509" s="209"/>
      <c r="N509" s="209"/>
      <c r="O509" s="209"/>
    </row>
    <row r="510">
      <c r="B510" s="209"/>
      <c r="C510" s="209"/>
      <c r="D510" s="209"/>
      <c r="E510" s="209"/>
      <c r="F510" s="209"/>
      <c r="G510" s="209"/>
      <c r="H510" s="209"/>
      <c r="I510" s="209"/>
      <c r="J510" s="209"/>
      <c r="K510" s="209"/>
      <c r="L510" s="209"/>
      <c r="M510" s="209"/>
      <c r="N510" s="209"/>
      <c r="O510" s="209"/>
    </row>
    <row r="511">
      <c r="B511" s="209"/>
      <c r="C511" s="209"/>
      <c r="D511" s="209"/>
      <c r="E511" s="209"/>
      <c r="F511" s="209"/>
      <c r="G511" s="209"/>
      <c r="H511" s="209"/>
      <c r="I511" s="209"/>
      <c r="J511" s="209"/>
      <c r="K511" s="209"/>
      <c r="L511" s="209"/>
      <c r="M511" s="209"/>
      <c r="N511" s="209"/>
      <c r="O511" s="209"/>
    </row>
    <row r="512">
      <c r="B512" s="209"/>
      <c r="C512" s="209"/>
      <c r="D512" s="209"/>
      <c r="E512" s="209"/>
      <c r="F512" s="209"/>
      <c r="G512" s="209"/>
      <c r="H512" s="209"/>
      <c r="I512" s="209"/>
      <c r="J512" s="209"/>
      <c r="K512" s="209"/>
      <c r="L512" s="209"/>
      <c r="M512" s="209"/>
      <c r="N512" s="209"/>
      <c r="O512" s="209"/>
    </row>
    <row r="513">
      <c r="B513" s="209"/>
      <c r="C513" s="209"/>
      <c r="D513" s="209"/>
      <c r="E513" s="209"/>
      <c r="F513" s="209"/>
      <c r="G513" s="209"/>
      <c r="H513" s="209"/>
      <c r="I513" s="209"/>
      <c r="J513" s="209"/>
      <c r="K513" s="209"/>
      <c r="L513" s="209"/>
      <c r="M513" s="209"/>
      <c r="N513" s="209"/>
      <c r="O513" s="209"/>
    </row>
    <row r="514">
      <c r="B514" s="209"/>
      <c r="C514" s="209"/>
      <c r="D514" s="209"/>
      <c r="E514" s="209"/>
      <c r="F514" s="209"/>
      <c r="G514" s="209"/>
      <c r="H514" s="209"/>
      <c r="I514" s="209"/>
      <c r="J514" s="209"/>
      <c r="K514" s="209"/>
      <c r="L514" s="209"/>
      <c r="M514" s="209"/>
      <c r="N514" s="209"/>
      <c r="O514" s="209"/>
    </row>
    <row r="515">
      <c r="B515" s="209"/>
      <c r="C515" s="209"/>
      <c r="D515" s="209"/>
      <c r="E515" s="209"/>
      <c r="F515" s="209"/>
      <c r="G515" s="209"/>
      <c r="H515" s="209"/>
      <c r="I515" s="209"/>
      <c r="J515" s="209"/>
      <c r="K515" s="209"/>
      <c r="L515" s="209"/>
      <c r="M515" s="209"/>
      <c r="N515" s="209"/>
      <c r="O515" s="209"/>
    </row>
    <row r="516">
      <c r="B516" s="209"/>
      <c r="C516" s="209"/>
      <c r="D516" s="209"/>
      <c r="E516" s="209"/>
      <c r="F516" s="209"/>
      <c r="G516" s="209"/>
      <c r="H516" s="209"/>
      <c r="I516" s="209"/>
      <c r="J516" s="209"/>
      <c r="K516" s="209"/>
      <c r="L516" s="209"/>
      <c r="M516" s="209"/>
      <c r="N516" s="209"/>
      <c r="O516" s="209"/>
    </row>
    <row r="517">
      <c r="B517" s="209"/>
      <c r="C517" s="209"/>
      <c r="D517" s="209"/>
      <c r="E517" s="209"/>
      <c r="F517" s="209"/>
      <c r="G517" s="209"/>
      <c r="H517" s="209"/>
      <c r="I517" s="209"/>
      <c r="J517" s="209"/>
      <c r="K517" s="209"/>
      <c r="L517" s="209"/>
      <c r="M517" s="209"/>
      <c r="N517" s="209"/>
      <c r="O517" s="209"/>
    </row>
    <row r="518">
      <c r="B518" s="209"/>
      <c r="C518" s="209"/>
      <c r="D518" s="209"/>
      <c r="E518" s="209"/>
      <c r="F518" s="209"/>
      <c r="G518" s="209"/>
      <c r="H518" s="209"/>
      <c r="I518" s="209"/>
      <c r="J518" s="209"/>
      <c r="K518" s="209"/>
      <c r="L518" s="209"/>
      <c r="M518" s="209"/>
      <c r="N518" s="209"/>
      <c r="O518" s="209"/>
    </row>
    <row r="519">
      <c r="B519" s="209"/>
      <c r="C519" s="209"/>
      <c r="D519" s="209"/>
      <c r="E519" s="209"/>
      <c r="F519" s="209"/>
      <c r="G519" s="209"/>
      <c r="H519" s="209"/>
      <c r="I519" s="209"/>
      <c r="J519" s="209"/>
      <c r="K519" s="209"/>
      <c r="L519" s="209"/>
      <c r="M519" s="209"/>
      <c r="N519" s="209"/>
      <c r="O519" s="209"/>
    </row>
    <row r="520">
      <c r="B520" s="209"/>
      <c r="C520" s="209"/>
      <c r="D520" s="209"/>
      <c r="E520" s="209"/>
      <c r="F520" s="209"/>
      <c r="G520" s="209"/>
      <c r="H520" s="209"/>
      <c r="I520" s="209"/>
      <c r="J520" s="209"/>
      <c r="K520" s="209"/>
      <c r="L520" s="209"/>
      <c r="M520" s="209"/>
      <c r="N520" s="209"/>
      <c r="O520" s="209"/>
    </row>
    <row r="521">
      <c r="B521" s="209"/>
      <c r="C521" s="209"/>
      <c r="D521" s="209"/>
      <c r="E521" s="209"/>
      <c r="F521" s="209"/>
      <c r="G521" s="209"/>
      <c r="H521" s="209"/>
      <c r="I521" s="209"/>
      <c r="J521" s="209"/>
      <c r="K521" s="209"/>
      <c r="L521" s="209"/>
      <c r="M521" s="209"/>
      <c r="N521" s="209"/>
      <c r="O521" s="209"/>
    </row>
    <row r="522">
      <c r="B522" s="209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09"/>
      <c r="O522" s="209"/>
    </row>
    <row r="523">
      <c r="B523" s="209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09"/>
      <c r="O523" s="209"/>
    </row>
    <row r="524">
      <c r="B524" s="209"/>
      <c r="C524" s="209"/>
      <c r="D524" s="209"/>
      <c r="E524" s="209"/>
      <c r="F524" s="209"/>
      <c r="G524" s="209"/>
      <c r="H524" s="209"/>
      <c r="I524" s="209"/>
      <c r="J524" s="209"/>
      <c r="K524" s="209"/>
      <c r="L524" s="209"/>
      <c r="M524" s="209"/>
      <c r="N524" s="209"/>
      <c r="O524" s="209"/>
    </row>
    <row r="525">
      <c r="B525" s="209"/>
      <c r="C525" s="209"/>
      <c r="D525" s="209"/>
      <c r="E525" s="209"/>
      <c r="F525" s="209"/>
      <c r="G525" s="209"/>
      <c r="H525" s="209"/>
      <c r="I525" s="209"/>
      <c r="J525" s="209"/>
      <c r="K525" s="209"/>
      <c r="L525" s="209"/>
      <c r="M525" s="209"/>
      <c r="N525" s="209"/>
      <c r="O525" s="209"/>
    </row>
    <row r="526">
      <c r="B526" s="209"/>
      <c r="C526" s="209"/>
      <c r="D526" s="209"/>
      <c r="E526" s="209"/>
      <c r="F526" s="209"/>
      <c r="G526" s="209"/>
      <c r="H526" s="209"/>
      <c r="I526" s="209"/>
      <c r="J526" s="209"/>
      <c r="K526" s="209"/>
      <c r="L526" s="209"/>
      <c r="M526" s="209"/>
      <c r="N526" s="209"/>
      <c r="O526" s="209"/>
    </row>
    <row r="527">
      <c r="B527" s="209"/>
      <c r="C527" s="209"/>
      <c r="D527" s="209"/>
      <c r="E527" s="209"/>
      <c r="F527" s="209"/>
      <c r="G527" s="209"/>
      <c r="H527" s="209"/>
      <c r="I527" s="209"/>
      <c r="J527" s="209"/>
      <c r="K527" s="209"/>
      <c r="L527" s="209"/>
      <c r="M527" s="209"/>
      <c r="N527" s="209"/>
      <c r="O527" s="209"/>
    </row>
    <row r="528">
      <c r="B528" s="209"/>
      <c r="C528" s="209"/>
      <c r="D528" s="209"/>
      <c r="E528" s="209"/>
      <c r="F528" s="209"/>
      <c r="G528" s="209"/>
      <c r="H528" s="209"/>
      <c r="I528" s="209"/>
      <c r="J528" s="209"/>
      <c r="K528" s="209"/>
      <c r="L528" s="209"/>
      <c r="M528" s="209"/>
      <c r="N528" s="209"/>
      <c r="O528" s="209"/>
    </row>
    <row r="529">
      <c r="B529" s="209"/>
      <c r="C529" s="209"/>
      <c r="D529" s="209"/>
      <c r="E529" s="209"/>
      <c r="F529" s="209"/>
      <c r="G529" s="209"/>
      <c r="H529" s="209"/>
      <c r="I529" s="209"/>
      <c r="J529" s="209"/>
      <c r="K529" s="209"/>
      <c r="L529" s="209"/>
      <c r="M529" s="209"/>
      <c r="N529" s="209"/>
      <c r="O529" s="209"/>
    </row>
    <row r="530">
      <c r="B530" s="209"/>
      <c r="C530" s="209"/>
      <c r="D530" s="209"/>
      <c r="E530" s="209"/>
      <c r="F530" s="209"/>
      <c r="G530" s="209"/>
      <c r="H530" s="209"/>
      <c r="I530" s="209"/>
      <c r="J530" s="209"/>
      <c r="K530" s="209"/>
      <c r="L530" s="209"/>
      <c r="M530" s="209"/>
      <c r="N530" s="209"/>
      <c r="O530" s="209"/>
    </row>
    <row r="531">
      <c r="B531" s="209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09"/>
      <c r="O531" s="209"/>
    </row>
    <row r="532">
      <c r="B532" s="209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09"/>
      <c r="O532" s="209"/>
    </row>
    <row r="533">
      <c r="B533" s="209"/>
      <c r="C533" s="209"/>
      <c r="D533" s="209"/>
      <c r="E533" s="209"/>
      <c r="F533" s="209"/>
      <c r="G533" s="209"/>
      <c r="H533" s="209"/>
      <c r="I533" s="209"/>
      <c r="J533" s="209"/>
      <c r="K533" s="209"/>
      <c r="L533" s="209"/>
      <c r="M533" s="209"/>
      <c r="N533" s="209"/>
      <c r="O533" s="209"/>
    </row>
    <row r="534">
      <c r="B534" s="209"/>
      <c r="C534" s="209"/>
      <c r="D534" s="209"/>
      <c r="E534" s="209"/>
      <c r="F534" s="209"/>
      <c r="G534" s="209"/>
      <c r="H534" s="209"/>
      <c r="I534" s="209"/>
      <c r="J534" s="209"/>
      <c r="K534" s="209"/>
      <c r="L534" s="209"/>
      <c r="M534" s="209"/>
      <c r="N534" s="209"/>
      <c r="O534" s="209"/>
    </row>
    <row r="535">
      <c r="B535" s="209"/>
      <c r="C535" s="209"/>
      <c r="D535" s="209"/>
      <c r="E535" s="209"/>
      <c r="F535" s="209"/>
      <c r="G535" s="209"/>
      <c r="H535" s="209"/>
      <c r="I535" s="209"/>
      <c r="J535" s="209"/>
      <c r="K535" s="209"/>
      <c r="L535" s="209"/>
      <c r="M535" s="209"/>
      <c r="N535" s="209"/>
      <c r="O535" s="209"/>
    </row>
    <row r="536">
      <c r="B536" s="209"/>
      <c r="C536" s="209"/>
      <c r="D536" s="209"/>
      <c r="E536" s="209"/>
      <c r="F536" s="209"/>
      <c r="G536" s="209"/>
      <c r="H536" s="209"/>
      <c r="I536" s="209"/>
      <c r="J536" s="209"/>
      <c r="K536" s="209"/>
      <c r="L536" s="209"/>
      <c r="M536" s="209"/>
      <c r="N536" s="209"/>
      <c r="O536" s="209"/>
    </row>
    <row r="537">
      <c r="B537" s="209"/>
      <c r="C537" s="209"/>
      <c r="D537" s="209"/>
      <c r="E537" s="209"/>
      <c r="F537" s="209"/>
      <c r="G537" s="209"/>
      <c r="H537" s="209"/>
      <c r="I537" s="209"/>
      <c r="J537" s="209"/>
      <c r="K537" s="209"/>
      <c r="L537" s="209"/>
      <c r="M537" s="209"/>
      <c r="N537" s="209"/>
      <c r="O537" s="209"/>
    </row>
    <row r="538">
      <c r="B538" s="209"/>
      <c r="C538" s="209"/>
      <c r="D538" s="209"/>
      <c r="E538" s="209"/>
      <c r="F538" s="209"/>
      <c r="G538" s="209"/>
      <c r="H538" s="209"/>
      <c r="I538" s="209"/>
      <c r="J538" s="209"/>
      <c r="K538" s="209"/>
      <c r="L538" s="209"/>
      <c r="M538" s="209"/>
      <c r="N538" s="209"/>
      <c r="O538" s="209"/>
    </row>
    <row r="539">
      <c r="B539" s="209"/>
      <c r="C539" s="209"/>
      <c r="D539" s="209"/>
      <c r="E539" s="209"/>
      <c r="F539" s="209"/>
      <c r="G539" s="209"/>
      <c r="H539" s="209"/>
      <c r="I539" s="209"/>
      <c r="J539" s="209"/>
      <c r="K539" s="209"/>
      <c r="L539" s="209"/>
      <c r="M539" s="209"/>
      <c r="N539" s="209"/>
      <c r="O539" s="209"/>
    </row>
    <row r="540">
      <c r="B540" s="209"/>
      <c r="C540" s="209"/>
      <c r="D540" s="209"/>
      <c r="E540" s="209"/>
      <c r="F540" s="209"/>
      <c r="G540" s="209"/>
      <c r="H540" s="209"/>
      <c r="I540" s="209"/>
      <c r="J540" s="209"/>
      <c r="K540" s="209"/>
      <c r="L540" s="209"/>
      <c r="M540" s="209"/>
      <c r="N540" s="209"/>
      <c r="O540" s="209"/>
    </row>
    <row r="541">
      <c r="B541" s="209"/>
      <c r="C541" s="209"/>
      <c r="D541" s="209"/>
      <c r="E541" s="209"/>
      <c r="F541" s="209"/>
      <c r="G541" s="209"/>
      <c r="H541" s="209"/>
      <c r="I541" s="209"/>
      <c r="J541" s="209"/>
      <c r="K541" s="209"/>
      <c r="L541" s="209"/>
      <c r="M541" s="209"/>
      <c r="N541" s="209"/>
      <c r="O541" s="209"/>
    </row>
    <row r="542">
      <c r="B542" s="209"/>
      <c r="C542" s="209"/>
      <c r="D542" s="209"/>
      <c r="E542" s="209"/>
      <c r="F542" s="209"/>
      <c r="G542" s="209"/>
      <c r="H542" s="209"/>
      <c r="I542" s="209"/>
      <c r="J542" s="209"/>
      <c r="K542" s="209"/>
      <c r="L542" s="209"/>
      <c r="M542" s="209"/>
      <c r="N542" s="209"/>
      <c r="O542" s="209"/>
    </row>
    <row r="543">
      <c r="B543" s="209"/>
      <c r="C543" s="209"/>
      <c r="D543" s="209"/>
      <c r="E543" s="209"/>
      <c r="F543" s="209"/>
      <c r="G543" s="209"/>
      <c r="H543" s="209"/>
      <c r="I543" s="209"/>
      <c r="J543" s="209"/>
      <c r="K543" s="209"/>
      <c r="L543" s="209"/>
      <c r="M543" s="209"/>
      <c r="N543" s="209"/>
      <c r="O543" s="209"/>
    </row>
    <row r="544">
      <c r="B544" s="209"/>
      <c r="C544" s="209"/>
      <c r="D544" s="209"/>
      <c r="E544" s="209"/>
      <c r="F544" s="209"/>
      <c r="G544" s="209"/>
      <c r="H544" s="209"/>
      <c r="I544" s="209"/>
      <c r="J544" s="209"/>
      <c r="K544" s="209"/>
      <c r="L544" s="209"/>
      <c r="M544" s="209"/>
      <c r="N544" s="209"/>
      <c r="O544" s="209"/>
    </row>
    <row r="545">
      <c r="B545" s="209"/>
      <c r="C545" s="209"/>
      <c r="D545" s="209"/>
      <c r="E545" s="209"/>
      <c r="F545" s="209"/>
      <c r="G545" s="209"/>
      <c r="H545" s="209"/>
      <c r="I545" s="209"/>
      <c r="J545" s="209"/>
      <c r="K545" s="209"/>
      <c r="L545" s="209"/>
      <c r="M545" s="209"/>
      <c r="N545" s="209"/>
      <c r="O545" s="209"/>
    </row>
    <row r="546">
      <c r="B546" s="209"/>
      <c r="C546" s="209"/>
      <c r="D546" s="209"/>
      <c r="E546" s="209"/>
      <c r="F546" s="209"/>
      <c r="G546" s="209"/>
      <c r="H546" s="209"/>
      <c r="I546" s="209"/>
      <c r="J546" s="209"/>
      <c r="K546" s="209"/>
      <c r="L546" s="209"/>
      <c r="M546" s="209"/>
      <c r="N546" s="209"/>
      <c r="O546" s="209"/>
    </row>
    <row r="547">
      <c r="B547" s="209"/>
      <c r="C547" s="209"/>
      <c r="D547" s="209"/>
      <c r="E547" s="209"/>
      <c r="F547" s="209"/>
      <c r="G547" s="209"/>
      <c r="H547" s="209"/>
      <c r="I547" s="209"/>
      <c r="J547" s="209"/>
      <c r="K547" s="209"/>
      <c r="L547" s="209"/>
      <c r="M547" s="209"/>
      <c r="N547" s="209"/>
      <c r="O547" s="209"/>
    </row>
    <row r="548">
      <c r="B548" s="209"/>
      <c r="C548" s="209"/>
      <c r="D548" s="209"/>
      <c r="E548" s="209"/>
      <c r="F548" s="209"/>
      <c r="G548" s="209"/>
      <c r="H548" s="209"/>
      <c r="I548" s="209"/>
      <c r="J548" s="209"/>
      <c r="K548" s="209"/>
      <c r="L548" s="209"/>
      <c r="M548" s="209"/>
      <c r="N548" s="209"/>
      <c r="O548" s="209"/>
    </row>
    <row r="549">
      <c r="B549" s="209"/>
      <c r="C549" s="209"/>
      <c r="D549" s="209"/>
      <c r="E549" s="209"/>
      <c r="F549" s="209"/>
      <c r="G549" s="209"/>
      <c r="H549" s="209"/>
      <c r="I549" s="209"/>
      <c r="J549" s="209"/>
      <c r="K549" s="209"/>
      <c r="L549" s="209"/>
      <c r="M549" s="209"/>
      <c r="N549" s="209"/>
      <c r="O549" s="209"/>
    </row>
    <row r="550">
      <c r="B550" s="209"/>
      <c r="C550" s="209"/>
      <c r="D550" s="209"/>
      <c r="E550" s="209"/>
      <c r="F550" s="209"/>
      <c r="G550" s="209"/>
      <c r="H550" s="209"/>
      <c r="I550" s="209"/>
      <c r="J550" s="209"/>
      <c r="K550" s="209"/>
      <c r="L550" s="209"/>
      <c r="M550" s="209"/>
      <c r="N550" s="209"/>
      <c r="O550" s="209"/>
    </row>
    <row r="551">
      <c r="B551" s="209"/>
      <c r="C551" s="209"/>
      <c r="D551" s="209"/>
      <c r="E551" s="209"/>
      <c r="F551" s="209"/>
      <c r="G551" s="209"/>
      <c r="H551" s="209"/>
      <c r="I551" s="209"/>
      <c r="J551" s="209"/>
      <c r="K551" s="209"/>
      <c r="L551" s="209"/>
      <c r="M551" s="209"/>
      <c r="N551" s="209"/>
      <c r="O551" s="209"/>
    </row>
    <row r="552">
      <c r="B552" s="209"/>
      <c r="C552" s="209"/>
      <c r="D552" s="209"/>
      <c r="E552" s="209"/>
      <c r="F552" s="209"/>
      <c r="G552" s="209"/>
      <c r="H552" s="209"/>
      <c r="I552" s="209"/>
      <c r="J552" s="209"/>
      <c r="K552" s="209"/>
      <c r="L552" s="209"/>
      <c r="M552" s="209"/>
      <c r="N552" s="209"/>
      <c r="O552" s="209"/>
    </row>
    <row r="553">
      <c r="B553" s="209"/>
      <c r="C553" s="209"/>
      <c r="D553" s="209"/>
      <c r="E553" s="209"/>
      <c r="F553" s="209"/>
      <c r="G553" s="209"/>
      <c r="H553" s="209"/>
      <c r="I553" s="209"/>
      <c r="J553" s="209"/>
      <c r="K553" s="209"/>
      <c r="L553" s="209"/>
      <c r="M553" s="209"/>
      <c r="N553" s="209"/>
      <c r="O553" s="209"/>
    </row>
    <row r="554">
      <c r="B554" s="209"/>
      <c r="C554" s="209"/>
      <c r="D554" s="209"/>
      <c r="E554" s="209"/>
      <c r="F554" s="209"/>
      <c r="G554" s="209"/>
      <c r="H554" s="209"/>
      <c r="I554" s="209"/>
      <c r="J554" s="209"/>
      <c r="K554" s="209"/>
      <c r="L554" s="209"/>
      <c r="M554" s="209"/>
      <c r="N554" s="209"/>
      <c r="O554" s="209"/>
    </row>
    <row r="555">
      <c r="B555" s="209"/>
      <c r="C555" s="209"/>
      <c r="D555" s="209"/>
      <c r="E555" s="209"/>
      <c r="F555" s="209"/>
      <c r="G555" s="209"/>
      <c r="H555" s="209"/>
      <c r="I555" s="209"/>
      <c r="J555" s="209"/>
      <c r="K555" s="209"/>
      <c r="L555" s="209"/>
      <c r="M555" s="209"/>
      <c r="N555" s="209"/>
      <c r="O555" s="209"/>
    </row>
    <row r="556">
      <c r="B556" s="209"/>
      <c r="C556" s="209"/>
      <c r="D556" s="209"/>
      <c r="E556" s="209"/>
      <c r="F556" s="209"/>
      <c r="G556" s="209"/>
      <c r="H556" s="209"/>
      <c r="I556" s="209"/>
      <c r="J556" s="209"/>
      <c r="K556" s="209"/>
      <c r="L556" s="209"/>
      <c r="M556" s="209"/>
      <c r="N556" s="209"/>
      <c r="O556" s="209"/>
    </row>
    <row r="557">
      <c r="B557" s="209"/>
      <c r="C557" s="209"/>
      <c r="D557" s="209"/>
      <c r="E557" s="209"/>
      <c r="F557" s="209"/>
      <c r="G557" s="209"/>
      <c r="H557" s="209"/>
      <c r="I557" s="209"/>
      <c r="J557" s="209"/>
      <c r="K557" s="209"/>
      <c r="L557" s="209"/>
      <c r="M557" s="209"/>
      <c r="N557" s="209"/>
      <c r="O557" s="209"/>
    </row>
    <row r="558">
      <c r="B558" s="209"/>
      <c r="C558" s="209"/>
      <c r="D558" s="209"/>
      <c r="E558" s="209"/>
      <c r="F558" s="209"/>
      <c r="G558" s="209"/>
      <c r="H558" s="209"/>
      <c r="I558" s="209"/>
      <c r="J558" s="209"/>
      <c r="K558" s="209"/>
      <c r="L558" s="209"/>
      <c r="M558" s="209"/>
      <c r="N558" s="209"/>
      <c r="O558" s="209"/>
    </row>
    <row r="559">
      <c r="B559" s="209"/>
      <c r="C559" s="209"/>
      <c r="D559" s="209"/>
      <c r="E559" s="209"/>
      <c r="F559" s="209"/>
      <c r="G559" s="209"/>
      <c r="H559" s="209"/>
      <c r="I559" s="209"/>
      <c r="J559" s="209"/>
      <c r="K559" s="209"/>
      <c r="L559" s="209"/>
      <c r="M559" s="209"/>
      <c r="N559" s="209"/>
      <c r="O559" s="209"/>
    </row>
    <row r="560">
      <c r="B560" s="209"/>
      <c r="C560" s="209"/>
      <c r="D560" s="209"/>
      <c r="E560" s="209"/>
      <c r="F560" s="209"/>
      <c r="G560" s="209"/>
      <c r="H560" s="209"/>
      <c r="I560" s="209"/>
      <c r="J560" s="209"/>
      <c r="K560" s="209"/>
      <c r="L560" s="209"/>
      <c r="M560" s="209"/>
      <c r="N560" s="209"/>
      <c r="O560" s="209"/>
    </row>
    <row r="561">
      <c r="B561" s="209"/>
      <c r="C561" s="209"/>
      <c r="D561" s="209"/>
      <c r="E561" s="209"/>
      <c r="F561" s="209"/>
      <c r="G561" s="209"/>
      <c r="H561" s="209"/>
      <c r="I561" s="209"/>
      <c r="J561" s="209"/>
      <c r="K561" s="209"/>
      <c r="L561" s="209"/>
      <c r="M561" s="209"/>
      <c r="N561" s="209"/>
      <c r="O561" s="209"/>
    </row>
    <row r="562">
      <c r="B562" s="209"/>
      <c r="C562" s="209"/>
      <c r="D562" s="209"/>
      <c r="E562" s="209"/>
      <c r="F562" s="209"/>
      <c r="G562" s="209"/>
      <c r="H562" s="209"/>
      <c r="I562" s="209"/>
      <c r="J562" s="209"/>
      <c r="K562" s="209"/>
      <c r="L562" s="209"/>
      <c r="M562" s="209"/>
      <c r="N562" s="209"/>
      <c r="O562" s="209"/>
    </row>
    <row r="563">
      <c r="B563" s="209"/>
      <c r="C563" s="209"/>
      <c r="D563" s="209"/>
      <c r="E563" s="209"/>
      <c r="F563" s="209"/>
      <c r="G563" s="209"/>
      <c r="H563" s="209"/>
      <c r="I563" s="209"/>
      <c r="J563" s="209"/>
      <c r="K563" s="209"/>
      <c r="L563" s="209"/>
      <c r="M563" s="209"/>
      <c r="N563" s="209"/>
      <c r="O563" s="209"/>
    </row>
    <row r="564">
      <c r="B564" s="209"/>
      <c r="C564" s="209"/>
      <c r="D564" s="209"/>
      <c r="E564" s="209"/>
      <c r="F564" s="209"/>
      <c r="G564" s="209"/>
      <c r="H564" s="209"/>
      <c r="I564" s="209"/>
      <c r="J564" s="209"/>
      <c r="K564" s="209"/>
      <c r="L564" s="209"/>
      <c r="M564" s="209"/>
      <c r="N564" s="209"/>
      <c r="O564" s="209"/>
    </row>
    <row r="565">
      <c r="B565" s="209"/>
      <c r="C565" s="209"/>
      <c r="D565" s="209"/>
      <c r="E565" s="209"/>
      <c r="F565" s="209"/>
      <c r="G565" s="209"/>
      <c r="H565" s="209"/>
      <c r="I565" s="209"/>
      <c r="J565" s="209"/>
      <c r="K565" s="209"/>
      <c r="L565" s="209"/>
      <c r="M565" s="209"/>
      <c r="N565" s="209"/>
      <c r="O565" s="209"/>
    </row>
    <row r="566">
      <c r="B566" s="209"/>
      <c r="C566" s="209"/>
      <c r="D566" s="209"/>
      <c r="E566" s="209"/>
      <c r="F566" s="209"/>
      <c r="G566" s="209"/>
      <c r="H566" s="209"/>
      <c r="I566" s="209"/>
      <c r="J566" s="209"/>
      <c r="K566" s="209"/>
      <c r="L566" s="209"/>
      <c r="M566" s="209"/>
      <c r="N566" s="209"/>
      <c r="O566" s="209"/>
    </row>
    <row r="567">
      <c r="B567" s="209"/>
      <c r="C567" s="209"/>
      <c r="D567" s="209"/>
      <c r="E567" s="209"/>
      <c r="F567" s="209"/>
      <c r="G567" s="209"/>
      <c r="H567" s="209"/>
      <c r="I567" s="209"/>
      <c r="J567" s="209"/>
      <c r="K567" s="209"/>
      <c r="L567" s="209"/>
      <c r="M567" s="209"/>
      <c r="N567" s="209"/>
      <c r="O567" s="209"/>
    </row>
    <row r="568">
      <c r="B568" s="209"/>
      <c r="C568" s="209"/>
      <c r="D568" s="209"/>
      <c r="E568" s="209"/>
      <c r="F568" s="209"/>
      <c r="G568" s="209"/>
      <c r="H568" s="209"/>
      <c r="I568" s="209"/>
      <c r="J568" s="209"/>
      <c r="K568" s="209"/>
      <c r="L568" s="209"/>
      <c r="M568" s="209"/>
      <c r="N568" s="209"/>
      <c r="O568" s="209"/>
    </row>
    <row r="569">
      <c r="B569" s="209"/>
      <c r="C569" s="209"/>
      <c r="D569" s="209"/>
      <c r="E569" s="209"/>
      <c r="F569" s="209"/>
      <c r="G569" s="209"/>
      <c r="H569" s="209"/>
      <c r="I569" s="209"/>
      <c r="J569" s="209"/>
      <c r="K569" s="209"/>
      <c r="L569" s="209"/>
      <c r="M569" s="209"/>
      <c r="N569" s="209"/>
      <c r="O569" s="209"/>
    </row>
    <row r="570">
      <c r="B570" s="209"/>
      <c r="C570" s="209"/>
      <c r="D570" s="209"/>
      <c r="E570" s="209"/>
      <c r="F570" s="209"/>
      <c r="G570" s="209"/>
      <c r="H570" s="209"/>
      <c r="I570" s="209"/>
      <c r="J570" s="209"/>
      <c r="K570" s="209"/>
      <c r="L570" s="209"/>
      <c r="M570" s="209"/>
      <c r="N570" s="209"/>
      <c r="O570" s="209"/>
    </row>
    <row r="571">
      <c r="B571" s="209"/>
      <c r="C571" s="209"/>
      <c r="D571" s="209"/>
      <c r="E571" s="209"/>
      <c r="F571" s="209"/>
      <c r="G571" s="209"/>
      <c r="H571" s="209"/>
      <c r="I571" s="209"/>
      <c r="J571" s="209"/>
      <c r="K571" s="209"/>
      <c r="L571" s="209"/>
      <c r="M571" s="209"/>
      <c r="N571" s="209"/>
      <c r="O571" s="209"/>
    </row>
    <row r="572">
      <c r="B572" s="209"/>
      <c r="C572" s="209"/>
      <c r="D572" s="209"/>
      <c r="E572" s="209"/>
      <c r="F572" s="209"/>
      <c r="G572" s="209"/>
      <c r="H572" s="209"/>
      <c r="I572" s="209"/>
      <c r="J572" s="209"/>
      <c r="K572" s="209"/>
      <c r="L572" s="209"/>
      <c r="M572" s="209"/>
      <c r="N572" s="209"/>
      <c r="O572" s="209"/>
    </row>
    <row r="573">
      <c r="B573" s="209"/>
      <c r="C573" s="209"/>
      <c r="D573" s="209"/>
      <c r="E573" s="209"/>
      <c r="F573" s="209"/>
      <c r="G573" s="209"/>
      <c r="H573" s="209"/>
      <c r="I573" s="209"/>
      <c r="J573" s="209"/>
      <c r="K573" s="209"/>
      <c r="L573" s="209"/>
      <c r="M573" s="209"/>
      <c r="N573" s="209"/>
      <c r="O573" s="209"/>
    </row>
    <row r="574">
      <c r="B574" s="209"/>
      <c r="C574" s="209"/>
      <c r="D574" s="209"/>
      <c r="E574" s="209"/>
      <c r="F574" s="209"/>
      <c r="G574" s="209"/>
      <c r="H574" s="209"/>
      <c r="I574" s="209"/>
      <c r="J574" s="209"/>
      <c r="K574" s="209"/>
      <c r="L574" s="209"/>
      <c r="M574" s="209"/>
      <c r="N574" s="209"/>
      <c r="O574" s="209"/>
    </row>
    <row r="575">
      <c r="B575" s="209"/>
      <c r="C575" s="209"/>
      <c r="D575" s="209"/>
      <c r="E575" s="209"/>
      <c r="F575" s="209"/>
      <c r="G575" s="209"/>
      <c r="H575" s="209"/>
      <c r="I575" s="209"/>
      <c r="J575" s="209"/>
      <c r="K575" s="209"/>
      <c r="L575" s="209"/>
      <c r="M575" s="209"/>
      <c r="N575" s="209"/>
      <c r="O575" s="209"/>
    </row>
    <row r="576">
      <c r="B576" s="209"/>
      <c r="C576" s="209"/>
      <c r="D576" s="209"/>
      <c r="E576" s="209"/>
      <c r="F576" s="209"/>
      <c r="G576" s="209"/>
      <c r="H576" s="209"/>
      <c r="I576" s="209"/>
      <c r="J576" s="209"/>
      <c r="K576" s="209"/>
      <c r="L576" s="209"/>
      <c r="M576" s="209"/>
      <c r="N576" s="209"/>
      <c r="O576" s="209"/>
    </row>
    <row r="577">
      <c r="B577" s="209"/>
      <c r="C577" s="209"/>
      <c r="D577" s="209"/>
      <c r="E577" s="209"/>
      <c r="F577" s="209"/>
      <c r="G577" s="209"/>
      <c r="H577" s="209"/>
      <c r="I577" s="209"/>
      <c r="J577" s="209"/>
      <c r="K577" s="209"/>
      <c r="L577" s="209"/>
      <c r="M577" s="209"/>
      <c r="N577" s="209"/>
      <c r="O577" s="209"/>
    </row>
    <row r="578">
      <c r="B578" s="209"/>
      <c r="C578" s="209"/>
      <c r="D578" s="209"/>
      <c r="E578" s="209"/>
      <c r="F578" s="209"/>
      <c r="G578" s="209"/>
      <c r="H578" s="209"/>
      <c r="I578" s="209"/>
      <c r="J578" s="209"/>
      <c r="K578" s="209"/>
      <c r="L578" s="209"/>
      <c r="M578" s="209"/>
      <c r="N578" s="209"/>
      <c r="O578" s="209"/>
    </row>
    <row r="579">
      <c r="B579" s="209"/>
      <c r="C579" s="209"/>
      <c r="D579" s="209"/>
      <c r="E579" s="209"/>
      <c r="F579" s="209"/>
      <c r="G579" s="209"/>
      <c r="H579" s="209"/>
      <c r="I579" s="209"/>
      <c r="J579" s="209"/>
      <c r="K579" s="209"/>
      <c r="L579" s="209"/>
      <c r="M579" s="209"/>
      <c r="N579" s="209"/>
      <c r="O579" s="209"/>
    </row>
    <row r="580">
      <c r="B580" s="209"/>
      <c r="C580" s="209"/>
      <c r="D580" s="209"/>
      <c r="E580" s="209"/>
      <c r="F580" s="209"/>
      <c r="G580" s="209"/>
      <c r="H580" s="209"/>
      <c r="I580" s="209"/>
      <c r="J580" s="209"/>
      <c r="K580" s="209"/>
      <c r="L580" s="209"/>
      <c r="M580" s="209"/>
      <c r="N580" s="209"/>
      <c r="O580" s="209"/>
    </row>
    <row r="581">
      <c r="B581" s="209"/>
      <c r="C581" s="209"/>
      <c r="D581" s="209"/>
      <c r="E581" s="209"/>
      <c r="F581" s="209"/>
      <c r="G581" s="209"/>
      <c r="H581" s="209"/>
      <c r="I581" s="209"/>
      <c r="J581" s="209"/>
      <c r="K581" s="209"/>
      <c r="L581" s="209"/>
      <c r="M581" s="209"/>
      <c r="N581" s="209"/>
      <c r="O581" s="209"/>
    </row>
    <row r="582">
      <c r="B582" s="209"/>
      <c r="C582" s="209"/>
      <c r="D582" s="209"/>
      <c r="E582" s="209"/>
      <c r="F582" s="209"/>
      <c r="G582" s="209"/>
      <c r="H582" s="209"/>
      <c r="I582" s="209"/>
      <c r="J582" s="209"/>
      <c r="K582" s="209"/>
      <c r="L582" s="209"/>
      <c r="M582" s="209"/>
      <c r="N582" s="209"/>
      <c r="O582" s="209"/>
    </row>
    <row r="583">
      <c r="B583" s="209"/>
      <c r="C583" s="209"/>
      <c r="D583" s="209"/>
      <c r="E583" s="209"/>
      <c r="F583" s="209"/>
      <c r="G583" s="209"/>
      <c r="H583" s="209"/>
      <c r="I583" s="209"/>
      <c r="J583" s="209"/>
      <c r="K583" s="209"/>
      <c r="L583" s="209"/>
      <c r="M583" s="209"/>
      <c r="N583" s="209"/>
      <c r="O583" s="209"/>
    </row>
    <row r="584">
      <c r="B584" s="209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09"/>
      <c r="O584" s="209"/>
    </row>
    <row r="585">
      <c r="B585" s="209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09"/>
      <c r="O585" s="209"/>
    </row>
    <row r="586">
      <c r="B586" s="209"/>
      <c r="C586" s="209"/>
      <c r="D586" s="209"/>
      <c r="E586" s="209"/>
      <c r="F586" s="209"/>
      <c r="G586" s="209"/>
      <c r="H586" s="209"/>
      <c r="I586" s="209"/>
      <c r="J586" s="209"/>
      <c r="K586" s="209"/>
      <c r="L586" s="209"/>
      <c r="M586" s="209"/>
      <c r="N586" s="209"/>
      <c r="O586" s="209"/>
    </row>
    <row r="587">
      <c r="B587" s="209"/>
      <c r="C587" s="209"/>
      <c r="D587" s="209"/>
      <c r="E587" s="209"/>
      <c r="F587" s="209"/>
      <c r="G587" s="209"/>
      <c r="H587" s="209"/>
      <c r="I587" s="209"/>
      <c r="J587" s="209"/>
      <c r="K587" s="209"/>
      <c r="L587" s="209"/>
      <c r="M587" s="209"/>
      <c r="N587" s="209"/>
      <c r="O587" s="209"/>
    </row>
    <row r="588">
      <c r="B588" s="209"/>
      <c r="C588" s="209"/>
      <c r="D588" s="209"/>
      <c r="E588" s="209"/>
      <c r="F588" s="209"/>
      <c r="G588" s="209"/>
      <c r="H588" s="209"/>
      <c r="I588" s="209"/>
      <c r="J588" s="209"/>
      <c r="K588" s="209"/>
      <c r="L588" s="209"/>
      <c r="M588" s="209"/>
      <c r="N588" s="209"/>
      <c r="O588" s="209"/>
    </row>
    <row r="589">
      <c r="B589" s="209"/>
      <c r="C589" s="209"/>
      <c r="D589" s="209"/>
      <c r="E589" s="209"/>
      <c r="F589" s="209"/>
      <c r="G589" s="209"/>
      <c r="H589" s="209"/>
      <c r="I589" s="209"/>
      <c r="J589" s="209"/>
      <c r="K589" s="209"/>
      <c r="L589" s="209"/>
      <c r="M589" s="209"/>
      <c r="N589" s="209"/>
      <c r="O589" s="209"/>
    </row>
    <row r="590">
      <c r="B590" s="209"/>
      <c r="C590" s="209"/>
      <c r="D590" s="209"/>
      <c r="E590" s="209"/>
      <c r="F590" s="209"/>
      <c r="G590" s="209"/>
      <c r="H590" s="209"/>
      <c r="I590" s="209"/>
      <c r="J590" s="209"/>
      <c r="K590" s="209"/>
      <c r="L590" s="209"/>
      <c r="M590" s="209"/>
      <c r="N590" s="209"/>
      <c r="O590" s="209"/>
    </row>
    <row r="591">
      <c r="B591" s="209"/>
      <c r="C591" s="209"/>
      <c r="D591" s="209"/>
      <c r="E591" s="209"/>
      <c r="F591" s="209"/>
      <c r="G591" s="209"/>
      <c r="H591" s="209"/>
      <c r="I591" s="209"/>
      <c r="J591" s="209"/>
      <c r="K591" s="209"/>
      <c r="L591" s="209"/>
      <c r="M591" s="209"/>
      <c r="N591" s="209"/>
      <c r="O591" s="209"/>
    </row>
    <row r="592">
      <c r="B592" s="209"/>
      <c r="C592" s="209"/>
      <c r="D592" s="209"/>
      <c r="E592" s="209"/>
      <c r="F592" s="209"/>
      <c r="G592" s="209"/>
      <c r="H592" s="209"/>
      <c r="I592" s="209"/>
      <c r="J592" s="209"/>
      <c r="K592" s="209"/>
      <c r="L592" s="209"/>
      <c r="M592" s="209"/>
      <c r="N592" s="209"/>
      <c r="O592" s="209"/>
    </row>
    <row r="593">
      <c r="B593" s="209"/>
      <c r="C593" s="209"/>
      <c r="D593" s="209"/>
      <c r="E593" s="209"/>
      <c r="F593" s="209"/>
      <c r="G593" s="209"/>
      <c r="H593" s="209"/>
      <c r="I593" s="209"/>
      <c r="J593" s="209"/>
      <c r="K593" s="209"/>
      <c r="L593" s="209"/>
      <c r="M593" s="209"/>
      <c r="N593" s="209"/>
      <c r="O593" s="209"/>
    </row>
    <row r="594">
      <c r="B594" s="209"/>
      <c r="C594" s="209"/>
      <c r="D594" s="209"/>
      <c r="E594" s="209"/>
      <c r="F594" s="209"/>
      <c r="G594" s="209"/>
      <c r="H594" s="209"/>
      <c r="I594" s="209"/>
      <c r="J594" s="209"/>
      <c r="K594" s="209"/>
      <c r="L594" s="209"/>
      <c r="M594" s="209"/>
      <c r="N594" s="209"/>
      <c r="O594" s="209"/>
    </row>
    <row r="595">
      <c r="B595" s="209"/>
      <c r="C595" s="209"/>
      <c r="D595" s="209"/>
      <c r="E595" s="209"/>
      <c r="F595" s="209"/>
      <c r="G595" s="209"/>
      <c r="H595" s="209"/>
      <c r="I595" s="209"/>
      <c r="J595" s="209"/>
      <c r="K595" s="209"/>
      <c r="L595" s="209"/>
      <c r="M595" s="209"/>
      <c r="N595" s="209"/>
      <c r="O595" s="209"/>
    </row>
    <row r="596">
      <c r="B596" s="209"/>
      <c r="C596" s="209"/>
      <c r="D596" s="209"/>
      <c r="E596" s="209"/>
      <c r="F596" s="209"/>
      <c r="G596" s="209"/>
      <c r="H596" s="209"/>
      <c r="I596" s="209"/>
      <c r="J596" s="209"/>
      <c r="K596" s="209"/>
      <c r="L596" s="209"/>
      <c r="M596" s="209"/>
      <c r="N596" s="209"/>
      <c r="O596" s="209"/>
    </row>
    <row r="597">
      <c r="B597" s="209"/>
      <c r="C597" s="209"/>
      <c r="D597" s="209"/>
      <c r="E597" s="209"/>
      <c r="F597" s="209"/>
      <c r="G597" s="209"/>
      <c r="H597" s="209"/>
      <c r="I597" s="209"/>
      <c r="J597" s="209"/>
      <c r="K597" s="209"/>
      <c r="L597" s="209"/>
      <c r="M597" s="209"/>
      <c r="N597" s="209"/>
      <c r="O597" s="209"/>
    </row>
    <row r="598">
      <c r="B598" s="209"/>
      <c r="C598" s="209"/>
      <c r="D598" s="209"/>
      <c r="E598" s="209"/>
      <c r="F598" s="209"/>
      <c r="G598" s="209"/>
      <c r="H598" s="209"/>
      <c r="I598" s="209"/>
      <c r="J598" s="209"/>
      <c r="K598" s="209"/>
      <c r="L598" s="209"/>
      <c r="M598" s="209"/>
      <c r="N598" s="209"/>
      <c r="O598" s="209"/>
    </row>
    <row r="599">
      <c r="B599" s="209"/>
      <c r="C599" s="209"/>
      <c r="D599" s="209"/>
      <c r="E599" s="209"/>
      <c r="F599" s="209"/>
      <c r="G599" s="209"/>
      <c r="H599" s="209"/>
      <c r="I599" s="209"/>
      <c r="J599" s="209"/>
      <c r="K599" s="209"/>
      <c r="L599" s="209"/>
      <c r="M599" s="209"/>
      <c r="N599" s="209"/>
      <c r="O599" s="209"/>
    </row>
    <row r="600">
      <c r="B600" s="209"/>
      <c r="C600" s="209"/>
      <c r="D600" s="209"/>
      <c r="E600" s="209"/>
      <c r="F600" s="209"/>
      <c r="G600" s="209"/>
      <c r="H600" s="209"/>
      <c r="I600" s="209"/>
      <c r="J600" s="209"/>
      <c r="K600" s="209"/>
      <c r="L600" s="209"/>
      <c r="M600" s="209"/>
      <c r="N600" s="209"/>
      <c r="O600" s="209"/>
    </row>
    <row r="601">
      <c r="B601" s="209"/>
      <c r="C601" s="209"/>
      <c r="D601" s="209"/>
      <c r="E601" s="209"/>
      <c r="F601" s="209"/>
      <c r="G601" s="209"/>
      <c r="H601" s="209"/>
      <c r="I601" s="209"/>
      <c r="J601" s="209"/>
      <c r="K601" s="209"/>
      <c r="L601" s="209"/>
      <c r="M601" s="209"/>
      <c r="N601" s="209"/>
      <c r="O601" s="209"/>
    </row>
    <row r="602">
      <c r="B602" s="209"/>
      <c r="C602" s="209"/>
      <c r="D602" s="209"/>
      <c r="E602" s="209"/>
      <c r="F602" s="209"/>
      <c r="G602" s="209"/>
      <c r="H602" s="209"/>
      <c r="I602" s="209"/>
      <c r="J602" s="209"/>
      <c r="K602" s="209"/>
      <c r="L602" s="209"/>
      <c r="M602" s="209"/>
      <c r="N602" s="209"/>
      <c r="O602" s="209"/>
    </row>
    <row r="603">
      <c r="B603" s="209"/>
      <c r="C603" s="209"/>
      <c r="D603" s="209"/>
      <c r="E603" s="209"/>
      <c r="F603" s="209"/>
      <c r="G603" s="209"/>
      <c r="H603" s="209"/>
      <c r="I603" s="209"/>
      <c r="J603" s="209"/>
      <c r="K603" s="209"/>
      <c r="L603" s="209"/>
      <c r="M603" s="209"/>
      <c r="N603" s="209"/>
      <c r="O603" s="209"/>
    </row>
    <row r="604">
      <c r="B604" s="209"/>
      <c r="C604" s="209"/>
      <c r="D604" s="209"/>
      <c r="E604" s="209"/>
      <c r="F604" s="209"/>
      <c r="G604" s="209"/>
      <c r="H604" s="209"/>
      <c r="I604" s="209"/>
      <c r="J604" s="209"/>
      <c r="K604" s="209"/>
      <c r="L604" s="209"/>
      <c r="M604" s="209"/>
      <c r="N604" s="209"/>
      <c r="O604" s="209"/>
    </row>
    <row r="605">
      <c r="B605" s="209"/>
      <c r="C605" s="209"/>
      <c r="D605" s="209"/>
      <c r="E605" s="209"/>
      <c r="F605" s="209"/>
      <c r="G605" s="209"/>
      <c r="H605" s="209"/>
      <c r="I605" s="209"/>
      <c r="J605" s="209"/>
      <c r="K605" s="209"/>
      <c r="L605" s="209"/>
      <c r="M605" s="209"/>
      <c r="N605" s="209"/>
      <c r="O605" s="209"/>
    </row>
    <row r="606">
      <c r="B606" s="209"/>
      <c r="C606" s="209"/>
      <c r="D606" s="209"/>
      <c r="E606" s="209"/>
      <c r="F606" s="209"/>
      <c r="G606" s="209"/>
      <c r="H606" s="209"/>
      <c r="I606" s="209"/>
      <c r="J606" s="209"/>
      <c r="K606" s="209"/>
      <c r="L606" s="209"/>
      <c r="M606" s="209"/>
      <c r="N606" s="209"/>
      <c r="O606" s="209"/>
    </row>
    <row r="607">
      <c r="B607" s="209"/>
      <c r="C607" s="209"/>
      <c r="D607" s="209"/>
      <c r="E607" s="209"/>
      <c r="F607" s="209"/>
      <c r="G607" s="209"/>
      <c r="H607" s="209"/>
      <c r="I607" s="209"/>
      <c r="J607" s="209"/>
      <c r="K607" s="209"/>
      <c r="L607" s="209"/>
      <c r="M607" s="209"/>
      <c r="N607" s="209"/>
      <c r="O607" s="209"/>
    </row>
    <row r="608">
      <c r="B608" s="209"/>
      <c r="C608" s="209"/>
      <c r="D608" s="209"/>
      <c r="E608" s="209"/>
      <c r="F608" s="209"/>
      <c r="G608" s="209"/>
      <c r="H608" s="209"/>
      <c r="I608" s="209"/>
      <c r="J608" s="209"/>
      <c r="K608" s="209"/>
      <c r="L608" s="209"/>
      <c r="M608" s="209"/>
      <c r="N608" s="209"/>
      <c r="O608" s="209"/>
    </row>
    <row r="609">
      <c r="B609" s="209"/>
      <c r="C609" s="209"/>
      <c r="D609" s="209"/>
      <c r="E609" s="209"/>
      <c r="F609" s="209"/>
      <c r="G609" s="209"/>
      <c r="H609" s="209"/>
      <c r="I609" s="209"/>
      <c r="J609" s="209"/>
      <c r="K609" s="209"/>
      <c r="L609" s="209"/>
      <c r="M609" s="209"/>
      <c r="N609" s="209"/>
      <c r="O609" s="209"/>
    </row>
    <row r="610">
      <c r="B610" s="209"/>
      <c r="C610" s="209"/>
      <c r="D610" s="209"/>
      <c r="E610" s="209"/>
      <c r="F610" s="209"/>
      <c r="G610" s="209"/>
      <c r="H610" s="209"/>
      <c r="I610" s="209"/>
      <c r="J610" s="209"/>
      <c r="K610" s="209"/>
      <c r="L610" s="209"/>
      <c r="M610" s="209"/>
      <c r="N610" s="209"/>
      <c r="O610" s="209"/>
    </row>
    <row r="611">
      <c r="B611" s="209"/>
      <c r="C611" s="209"/>
      <c r="D611" s="209"/>
      <c r="E611" s="209"/>
      <c r="F611" s="209"/>
      <c r="G611" s="209"/>
      <c r="H611" s="209"/>
      <c r="I611" s="209"/>
      <c r="J611" s="209"/>
      <c r="K611" s="209"/>
      <c r="L611" s="209"/>
      <c r="M611" s="209"/>
      <c r="N611" s="209"/>
      <c r="O611" s="209"/>
    </row>
    <row r="612">
      <c r="B612" s="209"/>
      <c r="C612" s="209"/>
      <c r="D612" s="209"/>
      <c r="E612" s="209"/>
      <c r="F612" s="209"/>
      <c r="G612" s="209"/>
      <c r="H612" s="209"/>
      <c r="I612" s="209"/>
      <c r="J612" s="209"/>
      <c r="K612" s="209"/>
      <c r="L612" s="209"/>
      <c r="M612" s="209"/>
      <c r="N612" s="209"/>
      <c r="O612" s="209"/>
    </row>
    <row r="613">
      <c r="B613" s="209"/>
      <c r="C613" s="209"/>
      <c r="D613" s="209"/>
      <c r="E613" s="209"/>
      <c r="F613" s="209"/>
      <c r="G613" s="209"/>
      <c r="H613" s="209"/>
      <c r="I613" s="209"/>
      <c r="J613" s="209"/>
      <c r="K613" s="209"/>
      <c r="L613" s="209"/>
      <c r="M613" s="209"/>
      <c r="N613" s="209"/>
      <c r="O613" s="209"/>
    </row>
    <row r="614">
      <c r="B614" s="209"/>
      <c r="C614" s="209"/>
      <c r="D614" s="209"/>
      <c r="E614" s="209"/>
      <c r="F614" s="209"/>
      <c r="G614" s="209"/>
      <c r="H614" s="209"/>
      <c r="I614" s="209"/>
      <c r="J614" s="209"/>
      <c r="K614" s="209"/>
      <c r="L614" s="209"/>
      <c r="M614" s="209"/>
      <c r="N614" s="209"/>
      <c r="O614" s="209"/>
    </row>
    <row r="615">
      <c r="B615" s="209"/>
      <c r="C615" s="209"/>
      <c r="D615" s="209"/>
      <c r="E615" s="209"/>
      <c r="F615" s="209"/>
      <c r="G615" s="209"/>
      <c r="H615" s="209"/>
      <c r="I615" s="209"/>
      <c r="J615" s="209"/>
      <c r="K615" s="209"/>
      <c r="L615" s="209"/>
      <c r="M615" s="209"/>
      <c r="N615" s="209"/>
      <c r="O615" s="209"/>
    </row>
    <row r="616">
      <c r="B616" s="209"/>
      <c r="C616" s="209"/>
      <c r="D616" s="209"/>
      <c r="E616" s="209"/>
      <c r="F616" s="209"/>
      <c r="G616" s="209"/>
      <c r="H616" s="209"/>
      <c r="I616" s="209"/>
      <c r="J616" s="209"/>
      <c r="K616" s="209"/>
      <c r="L616" s="209"/>
      <c r="M616" s="209"/>
      <c r="N616" s="209"/>
      <c r="O616" s="209"/>
    </row>
    <row r="617">
      <c r="B617" s="209"/>
      <c r="C617" s="209"/>
      <c r="D617" s="209"/>
      <c r="E617" s="209"/>
      <c r="F617" s="209"/>
      <c r="G617" s="209"/>
      <c r="H617" s="209"/>
      <c r="I617" s="209"/>
      <c r="J617" s="209"/>
      <c r="K617" s="209"/>
      <c r="L617" s="209"/>
      <c r="M617" s="209"/>
      <c r="N617" s="209"/>
      <c r="O617" s="209"/>
    </row>
    <row r="618">
      <c r="B618" s="209"/>
      <c r="C618" s="209"/>
      <c r="D618" s="209"/>
      <c r="E618" s="209"/>
      <c r="F618" s="209"/>
      <c r="G618" s="209"/>
      <c r="H618" s="209"/>
      <c r="I618" s="209"/>
      <c r="J618" s="209"/>
      <c r="K618" s="209"/>
      <c r="L618" s="209"/>
      <c r="M618" s="209"/>
      <c r="N618" s="209"/>
      <c r="O618" s="209"/>
    </row>
    <row r="619">
      <c r="B619" s="209"/>
      <c r="C619" s="209"/>
      <c r="D619" s="209"/>
      <c r="E619" s="209"/>
      <c r="F619" s="209"/>
      <c r="G619" s="209"/>
      <c r="H619" s="209"/>
      <c r="I619" s="209"/>
      <c r="J619" s="209"/>
      <c r="K619" s="209"/>
      <c r="L619" s="209"/>
      <c r="M619" s="209"/>
      <c r="N619" s="209"/>
      <c r="O619" s="209"/>
    </row>
    <row r="620">
      <c r="B620" s="209"/>
      <c r="C620" s="209"/>
      <c r="D620" s="209"/>
      <c r="E620" s="209"/>
      <c r="F620" s="209"/>
      <c r="G620" s="209"/>
      <c r="H620" s="209"/>
      <c r="I620" s="209"/>
      <c r="J620" s="209"/>
      <c r="K620" s="209"/>
      <c r="L620" s="209"/>
      <c r="M620" s="209"/>
      <c r="N620" s="209"/>
      <c r="O620" s="209"/>
    </row>
    <row r="621">
      <c r="B621" s="209"/>
      <c r="C621" s="209"/>
      <c r="D621" s="209"/>
      <c r="E621" s="209"/>
      <c r="F621" s="209"/>
      <c r="G621" s="209"/>
      <c r="H621" s="209"/>
      <c r="I621" s="209"/>
      <c r="J621" s="209"/>
      <c r="K621" s="209"/>
      <c r="L621" s="209"/>
      <c r="M621" s="209"/>
      <c r="N621" s="209"/>
      <c r="O621" s="209"/>
    </row>
    <row r="622">
      <c r="B622" s="209"/>
      <c r="C622" s="209"/>
      <c r="D622" s="209"/>
      <c r="E622" s="209"/>
      <c r="F622" s="209"/>
      <c r="G622" s="209"/>
      <c r="H622" s="209"/>
      <c r="I622" s="209"/>
      <c r="J622" s="209"/>
      <c r="K622" s="209"/>
      <c r="L622" s="209"/>
      <c r="M622" s="209"/>
      <c r="N622" s="209"/>
      <c r="O622" s="209"/>
    </row>
    <row r="623">
      <c r="B623" s="209"/>
      <c r="C623" s="209"/>
      <c r="D623" s="209"/>
      <c r="E623" s="209"/>
      <c r="F623" s="209"/>
      <c r="G623" s="209"/>
      <c r="H623" s="209"/>
      <c r="I623" s="209"/>
      <c r="J623" s="209"/>
      <c r="K623" s="209"/>
      <c r="L623" s="209"/>
      <c r="M623" s="209"/>
      <c r="N623" s="209"/>
      <c r="O623" s="209"/>
    </row>
    <row r="624">
      <c r="B624" s="209"/>
      <c r="C624" s="209"/>
      <c r="D624" s="209"/>
      <c r="E624" s="209"/>
      <c r="F624" s="209"/>
      <c r="G624" s="209"/>
      <c r="H624" s="209"/>
      <c r="I624" s="209"/>
      <c r="J624" s="209"/>
      <c r="K624" s="209"/>
      <c r="L624" s="209"/>
      <c r="M624" s="209"/>
      <c r="N624" s="209"/>
      <c r="O624" s="209"/>
    </row>
    <row r="625">
      <c r="B625" s="209"/>
      <c r="C625" s="209"/>
      <c r="D625" s="209"/>
      <c r="E625" s="209"/>
      <c r="F625" s="209"/>
      <c r="G625" s="209"/>
      <c r="H625" s="209"/>
      <c r="I625" s="209"/>
      <c r="J625" s="209"/>
      <c r="K625" s="209"/>
      <c r="L625" s="209"/>
      <c r="M625" s="209"/>
      <c r="N625" s="209"/>
      <c r="O625" s="209"/>
    </row>
    <row r="626">
      <c r="B626" s="209"/>
      <c r="C626" s="209"/>
      <c r="D626" s="209"/>
      <c r="E626" s="209"/>
      <c r="F626" s="209"/>
      <c r="G626" s="209"/>
      <c r="H626" s="209"/>
      <c r="I626" s="209"/>
      <c r="J626" s="209"/>
      <c r="K626" s="209"/>
      <c r="L626" s="209"/>
      <c r="M626" s="209"/>
      <c r="N626" s="209"/>
      <c r="O626" s="209"/>
    </row>
    <row r="627">
      <c r="B627" s="209"/>
      <c r="C627" s="209"/>
      <c r="D627" s="209"/>
      <c r="E627" s="209"/>
      <c r="F627" s="209"/>
      <c r="G627" s="209"/>
      <c r="H627" s="209"/>
      <c r="I627" s="209"/>
      <c r="J627" s="209"/>
      <c r="K627" s="209"/>
      <c r="L627" s="209"/>
      <c r="M627" s="209"/>
      <c r="N627" s="209"/>
      <c r="O627" s="209"/>
    </row>
    <row r="628">
      <c r="B628" s="209"/>
      <c r="C628" s="209"/>
      <c r="D628" s="209"/>
      <c r="E628" s="209"/>
      <c r="F628" s="209"/>
      <c r="G628" s="209"/>
      <c r="H628" s="209"/>
      <c r="I628" s="209"/>
      <c r="J628" s="209"/>
      <c r="K628" s="209"/>
      <c r="L628" s="209"/>
      <c r="M628" s="209"/>
      <c r="N628" s="209"/>
      <c r="O628" s="209"/>
    </row>
    <row r="629">
      <c r="B629" s="209"/>
      <c r="C629" s="209"/>
      <c r="D629" s="209"/>
      <c r="E629" s="209"/>
      <c r="F629" s="209"/>
      <c r="G629" s="209"/>
      <c r="H629" s="209"/>
      <c r="I629" s="209"/>
      <c r="J629" s="209"/>
      <c r="K629" s="209"/>
      <c r="L629" s="209"/>
      <c r="M629" s="209"/>
      <c r="N629" s="209"/>
      <c r="O629" s="209"/>
    </row>
    <row r="630">
      <c r="B630" s="209"/>
      <c r="C630" s="209"/>
      <c r="D630" s="209"/>
      <c r="E630" s="209"/>
      <c r="F630" s="209"/>
      <c r="G630" s="209"/>
      <c r="H630" s="209"/>
      <c r="I630" s="209"/>
      <c r="J630" s="209"/>
      <c r="K630" s="209"/>
      <c r="L630" s="209"/>
      <c r="M630" s="209"/>
      <c r="N630" s="209"/>
      <c r="O630" s="209"/>
    </row>
    <row r="631">
      <c r="B631" s="209"/>
      <c r="C631" s="209"/>
      <c r="D631" s="209"/>
      <c r="E631" s="209"/>
      <c r="F631" s="209"/>
      <c r="G631" s="209"/>
      <c r="H631" s="209"/>
      <c r="I631" s="209"/>
      <c r="J631" s="209"/>
      <c r="K631" s="209"/>
      <c r="L631" s="209"/>
      <c r="M631" s="209"/>
      <c r="N631" s="209"/>
      <c r="O631" s="209"/>
    </row>
    <row r="632">
      <c r="B632" s="209"/>
      <c r="C632" s="209"/>
      <c r="D632" s="209"/>
      <c r="E632" s="209"/>
      <c r="F632" s="209"/>
      <c r="G632" s="209"/>
      <c r="H632" s="209"/>
      <c r="I632" s="209"/>
      <c r="J632" s="209"/>
      <c r="K632" s="209"/>
      <c r="L632" s="209"/>
      <c r="M632" s="209"/>
      <c r="N632" s="209"/>
      <c r="O632" s="209"/>
    </row>
    <row r="633">
      <c r="B633" s="209"/>
      <c r="C633" s="209"/>
      <c r="D633" s="209"/>
      <c r="E633" s="209"/>
      <c r="F633" s="209"/>
      <c r="G633" s="209"/>
      <c r="H633" s="209"/>
      <c r="I633" s="209"/>
      <c r="J633" s="209"/>
      <c r="K633" s="209"/>
      <c r="L633" s="209"/>
      <c r="M633" s="209"/>
      <c r="N633" s="209"/>
      <c r="O633" s="209"/>
    </row>
    <row r="634">
      <c r="B634" s="209"/>
      <c r="C634" s="209"/>
      <c r="D634" s="209"/>
      <c r="E634" s="209"/>
      <c r="F634" s="209"/>
      <c r="G634" s="209"/>
      <c r="H634" s="209"/>
      <c r="I634" s="209"/>
      <c r="J634" s="209"/>
      <c r="K634" s="209"/>
      <c r="L634" s="209"/>
      <c r="M634" s="209"/>
      <c r="N634" s="209"/>
      <c r="O634" s="209"/>
    </row>
    <row r="635">
      <c r="B635" s="209"/>
      <c r="C635" s="209"/>
      <c r="D635" s="209"/>
      <c r="E635" s="209"/>
      <c r="F635" s="209"/>
      <c r="G635" s="209"/>
      <c r="H635" s="209"/>
      <c r="I635" s="209"/>
      <c r="J635" s="209"/>
      <c r="K635" s="209"/>
      <c r="L635" s="209"/>
      <c r="M635" s="209"/>
      <c r="N635" s="209"/>
      <c r="O635" s="209"/>
    </row>
    <row r="636">
      <c r="B636" s="209"/>
      <c r="C636" s="209"/>
      <c r="D636" s="209"/>
      <c r="E636" s="209"/>
      <c r="F636" s="209"/>
      <c r="G636" s="209"/>
      <c r="H636" s="209"/>
      <c r="I636" s="209"/>
      <c r="J636" s="209"/>
      <c r="K636" s="209"/>
      <c r="L636" s="209"/>
      <c r="M636" s="209"/>
      <c r="N636" s="209"/>
      <c r="O636" s="209"/>
    </row>
    <row r="637">
      <c r="B637" s="209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09"/>
      <c r="O637" s="209"/>
    </row>
    <row r="638">
      <c r="B638" s="209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09"/>
      <c r="O638" s="209"/>
    </row>
    <row r="639">
      <c r="B639" s="209"/>
      <c r="C639" s="209"/>
      <c r="D639" s="209"/>
      <c r="E639" s="209"/>
      <c r="F639" s="209"/>
      <c r="G639" s="209"/>
      <c r="H639" s="209"/>
      <c r="I639" s="209"/>
      <c r="J639" s="209"/>
      <c r="K639" s="209"/>
      <c r="L639" s="209"/>
      <c r="M639" s="209"/>
      <c r="N639" s="209"/>
      <c r="O639" s="209"/>
    </row>
    <row r="640">
      <c r="B640" s="209"/>
      <c r="C640" s="209"/>
      <c r="D640" s="209"/>
      <c r="E640" s="209"/>
      <c r="F640" s="209"/>
      <c r="G640" s="209"/>
      <c r="H640" s="209"/>
      <c r="I640" s="209"/>
      <c r="J640" s="209"/>
      <c r="K640" s="209"/>
      <c r="L640" s="209"/>
      <c r="M640" s="209"/>
      <c r="N640" s="209"/>
      <c r="O640" s="209"/>
    </row>
    <row r="641">
      <c r="B641" s="209"/>
      <c r="C641" s="209"/>
      <c r="D641" s="209"/>
      <c r="E641" s="209"/>
      <c r="F641" s="209"/>
      <c r="G641" s="209"/>
      <c r="H641" s="209"/>
      <c r="I641" s="209"/>
      <c r="J641" s="209"/>
      <c r="K641" s="209"/>
      <c r="L641" s="209"/>
      <c r="M641" s="209"/>
      <c r="N641" s="209"/>
      <c r="O641" s="209"/>
    </row>
    <row r="642">
      <c r="B642" s="209"/>
      <c r="C642" s="209"/>
      <c r="D642" s="209"/>
      <c r="E642" s="209"/>
      <c r="F642" s="209"/>
      <c r="G642" s="209"/>
      <c r="H642" s="209"/>
      <c r="I642" s="209"/>
      <c r="J642" s="209"/>
      <c r="K642" s="209"/>
      <c r="L642" s="209"/>
      <c r="M642" s="209"/>
      <c r="N642" s="209"/>
      <c r="O642" s="209"/>
    </row>
    <row r="643">
      <c r="B643" s="209"/>
      <c r="C643" s="209"/>
      <c r="D643" s="209"/>
      <c r="E643" s="209"/>
      <c r="F643" s="209"/>
      <c r="G643" s="209"/>
      <c r="H643" s="209"/>
      <c r="I643" s="209"/>
      <c r="J643" s="209"/>
      <c r="K643" s="209"/>
      <c r="L643" s="209"/>
      <c r="M643" s="209"/>
      <c r="N643" s="209"/>
      <c r="O643" s="209"/>
    </row>
    <row r="644">
      <c r="B644" s="209"/>
      <c r="C644" s="209"/>
      <c r="D644" s="209"/>
      <c r="E644" s="209"/>
      <c r="F644" s="209"/>
      <c r="G644" s="209"/>
      <c r="H644" s="209"/>
      <c r="I644" s="209"/>
      <c r="J644" s="209"/>
      <c r="K644" s="209"/>
      <c r="L644" s="209"/>
      <c r="M644" s="209"/>
      <c r="N644" s="209"/>
      <c r="O644" s="209"/>
    </row>
    <row r="645">
      <c r="B645" s="209"/>
      <c r="C645" s="209"/>
      <c r="D645" s="209"/>
      <c r="E645" s="209"/>
      <c r="F645" s="209"/>
      <c r="G645" s="209"/>
      <c r="H645" s="209"/>
      <c r="I645" s="209"/>
      <c r="J645" s="209"/>
      <c r="K645" s="209"/>
      <c r="L645" s="209"/>
      <c r="M645" s="209"/>
      <c r="N645" s="209"/>
      <c r="O645" s="209"/>
    </row>
    <row r="646">
      <c r="B646" s="209"/>
      <c r="C646" s="209"/>
      <c r="D646" s="209"/>
      <c r="E646" s="209"/>
      <c r="F646" s="209"/>
      <c r="G646" s="209"/>
      <c r="H646" s="209"/>
      <c r="I646" s="209"/>
      <c r="J646" s="209"/>
      <c r="K646" s="209"/>
      <c r="L646" s="209"/>
      <c r="M646" s="209"/>
      <c r="N646" s="209"/>
      <c r="O646" s="209"/>
    </row>
    <row r="647">
      <c r="B647" s="209"/>
      <c r="C647" s="209"/>
      <c r="D647" s="209"/>
      <c r="E647" s="209"/>
      <c r="F647" s="209"/>
      <c r="G647" s="209"/>
      <c r="H647" s="209"/>
      <c r="I647" s="209"/>
      <c r="J647" s="209"/>
      <c r="K647" s="209"/>
      <c r="L647" s="209"/>
      <c r="M647" s="209"/>
      <c r="N647" s="209"/>
      <c r="O647" s="209"/>
    </row>
    <row r="648">
      <c r="B648" s="209"/>
      <c r="C648" s="209"/>
      <c r="D648" s="209"/>
      <c r="E648" s="209"/>
      <c r="F648" s="209"/>
      <c r="G648" s="209"/>
      <c r="H648" s="209"/>
      <c r="I648" s="209"/>
      <c r="J648" s="209"/>
      <c r="K648" s="209"/>
      <c r="L648" s="209"/>
      <c r="M648" s="209"/>
      <c r="N648" s="209"/>
      <c r="O648" s="209"/>
    </row>
    <row r="649">
      <c r="B649" s="209"/>
      <c r="C649" s="209"/>
      <c r="D649" s="209"/>
      <c r="E649" s="209"/>
      <c r="F649" s="209"/>
      <c r="G649" s="209"/>
      <c r="H649" s="209"/>
      <c r="I649" s="209"/>
      <c r="J649" s="209"/>
      <c r="K649" s="209"/>
      <c r="L649" s="209"/>
      <c r="M649" s="209"/>
      <c r="N649" s="209"/>
      <c r="O649" s="209"/>
    </row>
    <row r="650">
      <c r="B650" s="209"/>
      <c r="C650" s="209"/>
      <c r="D650" s="209"/>
      <c r="E650" s="209"/>
      <c r="F650" s="209"/>
      <c r="G650" s="209"/>
      <c r="H650" s="209"/>
      <c r="I650" s="209"/>
      <c r="J650" s="209"/>
      <c r="K650" s="209"/>
      <c r="L650" s="209"/>
      <c r="M650" s="209"/>
      <c r="N650" s="209"/>
      <c r="O650" s="209"/>
    </row>
    <row r="651">
      <c r="B651" s="209"/>
      <c r="C651" s="209"/>
      <c r="D651" s="209"/>
      <c r="E651" s="209"/>
      <c r="F651" s="209"/>
      <c r="G651" s="209"/>
      <c r="H651" s="209"/>
      <c r="I651" s="209"/>
      <c r="J651" s="209"/>
      <c r="K651" s="209"/>
      <c r="L651" s="209"/>
      <c r="M651" s="209"/>
      <c r="N651" s="209"/>
      <c r="O651" s="209"/>
    </row>
    <row r="652">
      <c r="B652" s="209"/>
      <c r="C652" s="209"/>
      <c r="D652" s="209"/>
      <c r="E652" s="209"/>
      <c r="F652" s="209"/>
      <c r="G652" s="209"/>
      <c r="H652" s="209"/>
      <c r="I652" s="209"/>
      <c r="J652" s="209"/>
      <c r="K652" s="209"/>
      <c r="L652" s="209"/>
      <c r="M652" s="209"/>
      <c r="N652" s="209"/>
      <c r="O652" s="209"/>
    </row>
    <row r="653">
      <c r="B653" s="209"/>
      <c r="C653" s="209"/>
      <c r="D653" s="209"/>
      <c r="E653" s="209"/>
      <c r="F653" s="209"/>
      <c r="G653" s="209"/>
      <c r="H653" s="209"/>
      <c r="I653" s="209"/>
      <c r="J653" s="209"/>
      <c r="K653" s="209"/>
      <c r="L653" s="209"/>
      <c r="M653" s="209"/>
      <c r="N653" s="209"/>
      <c r="O653" s="209"/>
    </row>
    <row r="654">
      <c r="B654" s="209"/>
      <c r="C654" s="209"/>
      <c r="D654" s="209"/>
      <c r="E654" s="209"/>
      <c r="F654" s="209"/>
      <c r="G654" s="209"/>
      <c r="H654" s="209"/>
      <c r="I654" s="209"/>
      <c r="J654" s="209"/>
      <c r="K654" s="209"/>
      <c r="L654" s="209"/>
      <c r="M654" s="209"/>
      <c r="N654" s="209"/>
      <c r="O654" s="209"/>
    </row>
    <row r="655">
      <c r="B655" s="209"/>
      <c r="C655" s="209"/>
      <c r="D655" s="209"/>
      <c r="E655" s="209"/>
      <c r="F655" s="209"/>
      <c r="G655" s="209"/>
      <c r="H655" s="209"/>
      <c r="I655" s="209"/>
      <c r="J655" s="209"/>
      <c r="K655" s="209"/>
      <c r="L655" s="209"/>
      <c r="M655" s="209"/>
      <c r="N655" s="209"/>
      <c r="O655" s="209"/>
    </row>
    <row r="656">
      <c r="B656" s="209"/>
      <c r="C656" s="209"/>
      <c r="D656" s="209"/>
      <c r="E656" s="209"/>
      <c r="F656" s="209"/>
      <c r="G656" s="209"/>
      <c r="H656" s="209"/>
      <c r="I656" s="209"/>
      <c r="J656" s="209"/>
      <c r="K656" s="209"/>
      <c r="L656" s="209"/>
      <c r="M656" s="209"/>
      <c r="N656" s="209"/>
      <c r="O656" s="209"/>
    </row>
    <row r="657">
      <c r="B657" s="209"/>
      <c r="C657" s="209"/>
      <c r="D657" s="209"/>
      <c r="E657" s="209"/>
      <c r="F657" s="209"/>
      <c r="G657" s="209"/>
      <c r="H657" s="209"/>
      <c r="I657" s="209"/>
      <c r="J657" s="209"/>
      <c r="K657" s="209"/>
      <c r="L657" s="209"/>
      <c r="M657" s="209"/>
      <c r="N657" s="209"/>
      <c r="O657" s="209"/>
    </row>
    <row r="658">
      <c r="B658" s="209"/>
      <c r="C658" s="209"/>
      <c r="D658" s="209"/>
      <c r="E658" s="209"/>
      <c r="F658" s="209"/>
      <c r="G658" s="209"/>
      <c r="H658" s="209"/>
      <c r="I658" s="209"/>
      <c r="J658" s="209"/>
      <c r="K658" s="209"/>
      <c r="L658" s="209"/>
      <c r="M658" s="209"/>
      <c r="N658" s="209"/>
      <c r="O658" s="209"/>
    </row>
    <row r="659">
      <c r="B659" s="209"/>
      <c r="C659" s="209"/>
      <c r="D659" s="209"/>
      <c r="E659" s="209"/>
      <c r="F659" s="209"/>
      <c r="G659" s="209"/>
      <c r="H659" s="209"/>
      <c r="I659" s="209"/>
      <c r="J659" s="209"/>
      <c r="K659" s="209"/>
      <c r="L659" s="209"/>
      <c r="M659" s="209"/>
      <c r="N659" s="209"/>
      <c r="O659" s="209"/>
    </row>
    <row r="660">
      <c r="B660" s="209"/>
      <c r="C660" s="209"/>
      <c r="D660" s="209"/>
      <c r="E660" s="209"/>
      <c r="F660" s="209"/>
      <c r="G660" s="209"/>
      <c r="H660" s="209"/>
      <c r="I660" s="209"/>
      <c r="J660" s="209"/>
      <c r="K660" s="209"/>
      <c r="L660" s="209"/>
      <c r="M660" s="209"/>
      <c r="N660" s="209"/>
      <c r="O660" s="209"/>
    </row>
    <row r="661">
      <c r="B661" s="209"/>
      <c r="C661" s="209"/>
      <c r="D661" s="209"/>
      <c r="E661" s="209"/>
      <c r="F661" s="209"/>
      <c r="G661" s="209"/>
      <c r="H661" s="209"/>
      <c r="I661" s="209"/>
      <c r="J661" s="209"/>
      <c r="K661" s="209"/>
      <c r="L661" s="209"/>
      <c r="M661" s="209"/>
      <c r="N661" s="209"/>
      <c r="O661" s="209"/>
    </row>
    <row r="662">
      <c r="B662" s="209"/>
      <c r="C662" s="209"/>
      <c r="D662" s="209"/>
      <c r="E662" s="209"/>
      <c r="F662" s="209"/>
      <c r="G662" s="209"/>
      <c r="H662" s="209"/>
      <c r="I662" s="209"/>
      <c r="J662" s="209"/>
      <c r="K662" s="209"/>
      <c r="L662" s="209"/>
      <c r="M662" s="209"/>
      <c r="N662" s="209"/>
      <c r="O662" s="209"/>
    </row>
    <row r="663">
      <c r="B663" s="209"/>
      <c r="C663" s="209"/>
      <c r="D663" s="209"/>
      <c r="E663" s="209"/>
      <c r="F663" s="209"/>
      <c r="G663" s="209"/>
      <c r="H663" s="209"/>
      <c r="I663" s="209"/>
      <c r="J663" s="209"/>
      <c r="K663" s="209"/>
      <c r="L663" s="209"/>
      <c r="M663" s="209"/>
      <c r="N663" s="209"/>
      <c r="O663" s="209"/>
    </row>
    <row r="664">
      <c r="B664" s="209"/>
      <c r="C664" s="209"/>
      <c r="D664" s="209"/>
      <c r="E664" s="209"/>
      <c r="F664" s="209"/>
      <c r="G664" s="209"/>
      <c r="H664" s="209"/>
      <c r="I664" s="209"/>
      <c r="J664" s="209"/>
      <c r="K664" s="209"/>
      <c r="L664" s="209"/>
      <c r="M664" s="209"/>
      <c r="N664" s="209"/>
      <c r="O664" s="209"/>
    </row>
    <row r="665">
      <c r="B665" s="209"/>
      <c r="C665" s="209"/>
      <c r="D665" s="209"/>
      <c r="E665" s="209"/>
      <c r="F665" s="209"/>
      <c r="G665" s="209"/>
      <c r="H665" s="209"/>
      <c r="I665" s="209"/>
      <c r="J665" s="209"/>
      <c r="K665" s="209"/>
      <c r="L665" s="209"/>
      <c r="M665" s="209"/>
      <c r="N665" s="209"/>
      <c r="O665" s="209"/>
    </row>
    <row r="666">
      <c r="B666" s="209"/>
      <c r="C666" s="209"/>
      <c r="D666" s="209"/>
      <c r="E666" s="209"/>
      <c r="F666" s="209"/>
      <c r="G666" s="209"/>
      <c r="H666" s="209"/>
      <c r="I666" s="209"/>
      <c r="J666" s="209"/>
      <c r="K666" s="209"/>
      <c r="L666" s="209"/>
      <c r="M666" s="209"/>
      <c r="N666" s="209"/>
      <c r="O666" s="209"/>
    </row>
    <row r="667">
      <c r="B667" s="209"/>
      <c r="C667" s="209"/>
      <c r="D667" s="209"/>
      <c r="E667" s="209"/>
      <c r="F667" s="209"/>
      <c r="G667" s="209"/>
      <c r="H667" s="209"/>
      <c r="I667" s="209"/>
      <c r="J667" s="209"/>
      <c r="K667" s="209"/>
      <c r="L667" s="209"/>
      <c r="M667" s="209"/>
      <c r="N667" s="209"/>
      <c r="O667" s="209"/>
    </row>
    <row r="668">
      <c r="B668" s="209"/>
      <c r="C668" s="209"/>
      <c r="D668" s="209"/>
      <c r="E668" s="209"/>
      <c r="F668" s="209"/>
      <c r="G668" s="209"/>
      <c r="H668" s="209"/>
      <c r="I668" s="209"/>
      <c r="J668" s="209"/>
      <c r="K668" s="209"/>
      <c r="L668" s="209"/>
      <c r="M668" s="209"/>
      <c r="N668" s="209"/>
      <c r="O668" s="209"/>
    </row>
    <row r="669">
      <c r="B669" s="209"/>
      <c r="C669" s="209"/>
      <c r="D669" s="209"/>
      <c r="E669" s="209"/>
      <c r="F669" s="209"/>
      <c r="G669" s="209"/>
      <c r="H669" s="209"/>
      <c r="I669" s="209"/>
      <c r="J669" s="209"/>
      <c r="K669" s="209"/>
      <c r="L669" s="209"/>
      <c r="M669" s="209"/>
      <c r="N669" s="209"/>
      <c r="O669" s="209"/>
    </row>
    <row r="670">
      <c r="B670" s="209"/>
      <c r="C670" s="209"/>
      <c r="D670" s="209"/>
      <c r="E670" s="209"/>
      <c r="F670" s="209"/>
      <c r="G670" s="209"/>
      <c r="H670" s="209"/>
      <c r="I670" s="209"/>
      <c r="J670" s="209"/>
      <c r="K670" s="209"/>
      <c r="L670" s="209"/>
      <c r="M670" s="209"/>
      <c r="N670" s="209"/>
      <c r="O670" s="209"/>
    </row>
    <row r="671">
      <c r="B671" s="209"/>
      <c r="C671" s="209"/>
      <c r="D671" s="209"/>
      <c r="E671" s="209"/>
      <c r="F671" s="209"/>
      <c r="G671" s="209"/>
      <c r="H671" s="209"/>
      <c r="I671" s="209"/>
      <c r="J671" s="209"/>
      <c r="K671" s="209"/>
      <c r="L671" s="209"/>
      <c r="M671" s="209"/>
      <c r="N671" s="209"/>
      <c r="O671" s="209"/>
    </row>
    <row r="672">
      <c r="B672" s="209"/>
      <c r="C672" s="209"/>
      <c r="D672" s="209"/>
      <c r="E672" s="209"/>
      <c r="F672" s="209"/>
      <c r="G672" s="209"/>
      <c r="H672" s="209"/>
      <c r="I672" s="209"/>
      <c r="J672" s="209"/>
      <c r="K672" s="209"/>
      <c r="L672" s="209"/>
      <c r="M672" s="209"/>
      <c r="N672" s="209"/>
      <c r="O672" s="209"/>
    </row>
    <row r="673">
      <c r="B673" s="209"/>
      <c r="C673" s="209"/>
      <c r="D673" s="209"/>
      <c r="E673" s="209"/>
      <c r="F673" s="209"/>
      <c r="G673" s="209"/>
      <c r="H673" s="209"/>
      <c r="I673" s="209"/>
      <c r="J673" s="209"/>
      <c r="K673" s="209"/>
      <c r="L673" s="209"/>
      <c r="M673" s="209"/>
      <c r="N673" s="209"/>
      <c r="O673" s="209"/>
    </row>
    <row r="674">
      <c r="B674" s="209"/>
      <c r="C674" s="209"/>
      <c r="D674" s="209"/>
      <c r="E674" s="209"/>
      <c r="F674" s="209"/>
      <c r="G674" s="209"/>
      <c r="H674" s="209"/>
      <c r="I674" s="209"/>
      <c r="J674" s="209"/>
      <c r="K674" s="209"/>
      <c r="L674" s="209"/>
      <c r="M674" s="209"/>
      <c r="N674" s="209"/>
      <c r="O674" s="209"/>
    </row>
    <row r="675">
      <c r="B675" s="209"/>
      <c r="C675" s="209"/>
      <c r="D675" s="209"/>
      <c r="E675" s="209"/>
      <c r="F675" s="209"/>
      <c r="G675" s="209"/>
      <c r="H675" s="209"/>
      <c r="I675" s="209"/>
      <c r="J675" s="209"/>
      <c r="K675" s="209"/>
      <c r="L675" s="209"/>
      <c r="M675" s="209"/>
      <c r="N675" s="209"/>
      <c r="O675" s="209"/>
    </row>
    <row r="676">
      <c r="B676" s="209"/>
      <c r="C676" s="209"/>
      <c r="D676" s="209"/>
      <c r="E676" s="209"/>
      <c r="F676" s="209"/>
      <c r="G676" s="209"/>
      <c r="H676" s="209"/>
      <c r="I676" s="209"/>
      <c r="J676" s="209"/>
      <c r="K676" s="209"/>
      <c r="L676" s="209"/>
      <c r="M676" s="209"/>
      <c r="N676" s="209"/>
      <c r="O676" s="209"/>
    </row>
    <row r="677">
      <c r="B677" s="209"/>
      <c r="C677" s="209"/>
      <c r="D677" s="209"/>
      <c r="E677" s="209"/>
      <c r="F677" s="209"/>
      <c r="G677" s="209"/>
      <c r="H677" s="209"/>
      <c r="I677" s="209"/>
      <c r="J677" s="209"/>
      <c r="K677" s="209"/>
      <c r="L677" s="209"/>
      <c r="M677" s="209"/>
      <c r="N677" s="209"/>
      <c r="O677" s="209"/>
    </row>
    <row r="678">
      <c r="B678" s="209"/>
      <c r="C678" s="209"/>
      <c r="D678" s="209"/>
      <c r="E678" s="209"/>
      <c r="F678" s="209"/>
      <c r="G678" s="209"/>
      <c r="H678" s="209"/>
      <c r="I678" s="209"/>
      <c r="J678" s="209"/>
      <c r="K678" s="209"/>
      <c r="L678" s="209"/>
      <c r="M678" s="209"/>
      <c r="N678" s="209"/>
      <c r="O678" s="209"/>
    </row>
    <row r="679">
      <c r="B679" s="209"/>
      <c r="C679" s="209"/>
      <c r="D679" s="209"/>
      <c r="E679" s="209"/>
      <c r="F679" s="209"/>
      <c r="G679" s="209"/>
      <c r="H679" s="209"/>
      <c r="I679" s="209"/>
      <c r="J679" s="209"/>
      <c r="K679" s="209"/>
      <c r="L679" s="209"/>
      <c r="M679" s="209"/>
      <c r="N679" s="209"/>
      <c r="O679" s="209"/>
    </row>
    <row r="680">
      <c r="B680" s="209"/>
      <c r="C680" s="209"/>
      <c r="D680" s="209"/>
      <c r="E680" s="209"/>
      <c r="F680" s="209"/>
      <c r="G680" s="209"/>
      <c r="H680" s="209"/>
      <c r="I680" s="209"/>
      <c r="J680" s="209"/>
      <c r="K680" s="209"/>
      <c r="L680" s="209"/>
      <c r="M680" s="209"/>
      <c r="N680" s="209"/>
      <c r="O680" s="209"/>
    </row>
    <row r="681">
      <c r="B681" s="209"/>
      <c r="C681" s="209"/>
      <c r="D681" s="209"/>
      <c r="E681" s="209"/>
      <c r="F681" s="209"/>
      <c r="G681" s="209"/>
      <c r="H681" s="209"/>
      <c r="I681" s="209"/>
      <c r="J681" s="209"/>
      <c r="K681" s="209"/>
      <c r="L681" s="209"/>
      <c r="M681" s="209"/>
      <c r="N681" s="209"/>
      <c r="O681" s="209"/>
    </row>
    <row r="682">
      <c r="B682" s="209"/>
      <c r="C682" s="209"/>
      <c r="D682" s="209"/>
      <c r="E682" s="209"/>
      <c r="F682" s="209"/>
      <c r="G682" s="209"/>
      <c r="H682" s="209"/>
      <c r="I682" s="209"/>
      <c r="J682" s="209"/>
      <c r="K682" s="209"/>
      <c r="L682" s="209"/>
      <c r="M682" s="209"/>
      <c r="N682" s="209"/>
      <c r="O682" s="209"/>
    </row>
    <row r="683">
      <c r="B683" s="209"/>
      <c r="C683" s="209"/>
      <c r="D683" s="209"/>
      <c r="E683" s="209"/>
      <c r="F683" s="209"/>
      <c r="G683" s="209"/>
      <c r="H683" s="209"/>
      <c r="I683" s="209"/>
      <c r="J683" s="209"/>
      <c r="K683" s="209"/>
      <c r="L683" s="209"/>
      <c r="M683" s="209"/>
      <c r="N683" s="209"/>
      <c r="O683" s="209"/>
    </row>
    <row r="684">
      <c r="B684" s="209"/>
      <c r="C684" s="209"/>
      <c r="D684" s="209"/>
      <c r="E684" s="209"/>
      <c r="F684" s="209"/>
      <c r="G684" s="209"/>
      <c r="H684" s="209"/>
      <c r="I684" s="209"/>
      <c r="J684" s="209"/>
      <c r="K684" s="209"/>
      <c r="L684" s="209"/>
      <c r="M684" s="209"/>
      <c r="N684" s="209"/>
      <c r="O684" s="209"/>
    </row>
    <row r="685">
      <c r="B685" s="209"/>
      <c r="C685" s="209"/>
      <c r="D685" s="209"/>
      <c r="E685" s="209"/>
      <c r="F685" s="209"/>
      <c r="G685" s="209"/>
      <c r="H685" s="209"/>
      <c r="I685" s="209"/>
      <c r="J685" s="209"/>
      <c r="K685" s="209"/>
      <c r="L685" s="209"/>
      <c r="M685" s="209"/>
      <c r="N685" s="209"/>
      <c r="O685" s="209"/>
    </row>
    <row r="686">
      <c r="B686" s="209"/>
      <c r="C686" s="209"/>
      <c r="D686" s="209"/>
      <c r="E686" s="209"/>
      <c r="F686" s="209"/>
      <c r="G686" s="209"/>
      <c r="H686" s="209"/>
      <c r="I686" s="209"/>
      <c r="J686" s="209"/>
      <c r="K686" s="209"/>
      <c r="L686" s="209"/>
      <c r="M686" s="209"/>
      <c r="N686" s="209"/>
      <c r="O686" s="209"/>
    </row>
    <row r="687">
      <c r="B687" s="209"/>
      <c r="C687" s="209"/>
      <c r="D687" s="209"/>
      <c r="E687" s="209"/>
      <c r="F687" s="209"/>
      <c r="G687" s="209"/>
      <c r="H687" s="209"/>
      <c r="I687" s="209"/>
      <c r="J687" s="209"/>
      <c r="K687" s="209"/>
      <c r="L687" s="209"/>
      <c r="M687" s="209"/>
      <c r="N687" s="209"/>
      <c r="O687" s="209"/>
    </row>
    <row r="688">
      <c r="B688" s="209"/>
      <c r="C688" s="209"/>
      <c r="D688" s="209"/>
      <c r="E688" s="209"/>
      <c r="F688" s="209"/>
      <c r="G688" s="209"/>
      <c r="H688" s="209"/>
      <c r="I688" s="209"/>
      <c r="J688" s="209"/>
      <c r="K688" s="209"/>
      <c r="L688" s="209"/>
      <c r="M688" s="209"/>
      <c r="N688" s="209"/>
      <c r="O688" s="209"/>
    </row>
    <row r="689">
      <c r="B689" s="209"/>
      <c r="C689" s="209"/>
      <c r="D689" s="209"/>
      <c r="E689" s="209"/>
      <c r="F689" s="209"/>
      <c r="G689" s="209"/>
      <c r="H689" s="209"/>
      <c r="I689" s="209"/>
      <c r="J689" s="209"/>
      <c r="K689" s="209"/>
      <c r="L689" s="209"/>
      <c r="M689" s="209"/>
      <c r="N689" s="209"/>
      <c r="O689" s="209"/>
    </row>
    <row r="690">
      <c r="B690" s="209"/>
      <c r="C690" s="209"/>
      <c r="D690" s="209"/>
      <c r="E690" s="209"/>
      <c r="F690" s="209"/>
      <c r="G690" s="209"/>
      <c r="H690" s="209"/>
      <c r="I690" s="209"/>
      <c r="J690" s="209"/>
      <c r="K690" s="209"/>
      <c r="L690" s="209"/>
      <c r="M690" s="209"/>
      <c r="N690" s="209"/>
      <c r="O690" s="209"/>
    </row>
    <row r="691">
      <c r="B691" s="209"/>
      <c r="C691" s="209"/>
      <c r="D691" s="209"/>
      <c r="E691" s="209"/>
      <c r="F691" s="209"/>
      <c r="G691" s="209"/>
      <c r="H691" s="209"/>
      <c r="I691" s="209"/>
      <c r="J691" s="209"/>
      <c r="K691" s="209"/>
      <c r="L691" s="209"/>
      <c r="M691" s="209"/>
      <c r="N691" s="209"/>
      <c r="O691" s="209"/>
    </row>
    <row r="692">
      <c r="B692" s="209"/>
      <c r="C692" s="209"/>
      <c r="D692" s="209"/>
      <c r="E692" s="209"/>
      <c r="F692" s="209"/>
      <c r="G692" s="209"/>
      <c r="H692" s="209"/>
      <c r="I692" s="209"/>
      <c r="J692" s="209"/>
      <c r="K692" s="209"/>
      <c r="L692" s="209"/>
      <c r="M692" s="209"/>
      <c r="N692" s="209"/>
      <c r="O692" s="209"/>
    </row>
    <row r="693">
      <c r="B693" s="209"/>
      <c r="C693" s="209"/>
      <c r="D693" s="209"/>
      <c r="E693" s="209"/>
      <c r="F693" s="209"/>
      <c r="G693" s="209"/>
      <c r="H693" s="209"/>
      <c r="I693" s="209"/>
      <c r="J693" s="209"/>
      <c r="K693" s="209"/>
      <c r="L693" s="209"/>
      <c r="M693" s="209"/>
      <c r="N693" s="209"/>
      <c r="O693" s="209"/>
    </row>
    <row r="694">
      <c r="B694" s="209"/>
      <c r="C694" s="209"/>
      <c r="D694" s="209"/>
      <c r="E694" s="209"/>
      <c r="F694" s="209"/>
      <c r="G694" s="209"/>
      <c r="H694" s="209"/>
      <c r="I694" s="209"/>
      <c r="J694" s="209"/>
      <c r="K694" s="209"/>
      <c r="L694" s="209"/>
      <c r="M694" s="209"/>
      <c r="N694" s="209"/>
      <c r="O694" s="209"/>
    </row>
    <row r="695">
      <c r="B695" s="209"/>
      <c r="C695" s="209"/>
      <c r="D695" s="209"/>
      <c r="E695" s="209"/>
      <c r="F695" s="209"/>
      <c r="G695" s="209"/>
      <c r="H695" s="209"/>
      <c r="I695" s="209"/>
      <c r="J695" s="209"/>
      <c r="K695" s="209"/>
      <c r="L695" s="209"/>
      <c r="M695" s="209"/>
      <c r="N695" s="209"/>
      <c r="O695" s="209"/>
    </row>
    <row r="696">
      <c r="B696" s="209"/>
      <c r="C696" s="209"/>
      <c r="D696" s="209"/>
      <c r="E696" s="209"/>
      <c r="F696" s="209"/>
      <c r="G696" s="209"/>
      <c r="H696" s="209"/>
      <c r="I696" s="209"/>
      <c r="J696" s="209"/>
      <c r="K696" s="209"/>
      <c r="L696" s="209"/>
      <c r="M696" s="209"/>
      <c r="N696" s="209"/>
      <c r="O696" s="209"/>
    </row>
    <row r="697">
      <c r="B697" s="209"/>
      <c r="C697" s="209"/>
      <c r="D697" s="209"/>
      <c r="E697" s="209"/>
      <c r="F697" s="209"/>
      <c r="G697" s="209"/>
      <c r="H697" s="209"/>
      <c r="I697" s="209"/>
      <c r="J697" s="209"/>
      <c r="K697" s="209"/>
      <c r="L697" s="209"/>
      <c r="M697" s="209"/>
      <c r="N697" s="209"/>
      <c r="O697" s="209"/>
    </row>
    <row r="698">
      <c r="B698" s="209"/>
      <c r="C698" s="209"/>
      <c r="D698" s="209"/>
      <c r="E698" s="209"/>
      <c r="F698" s="209"/>
      <c r="G698" s="209"/>
      <c r="H698" s="209"/>
      <c r="I698" s="209"/>
      <c r="J698" s="209"/>
      <c r="K698" s="209"/>
      <c r="L698" s="209"/>
      <c r="M698" s="209"/>
      <c r="N698" s="209"/>
      <c r="O698" s="209"/>
    </row>
    <row r="699">
      <c r="B699" s="209"/>
      <c r="C699" s="209"/>
      <c r="D699" s="209"/>
      <c r="E699" s="209"/>
      <c r="F699" s="209"/>
      <c r="G699" s="209"/>
      <c r="H699" s="209"/>
      <c r="I699" s="209"/>
      <c r="J699" s="209"/>
      <c r="K699" s="209"/>
      <c r="L699" s="209"/>
      <c r="M699" s="209"/>
      <c r="N699" s="209"/>
      <c r="O699" s="209"/>
    </row>
    <row r="700">
      <c r="B700" s="209"/>
      <c r="C700" s="209"/>
      <c r="D700" s="209"/>
      <c r="E700" s="209"/>
      <c r="F700" s="209"/>
      <c r="G700" s="209"/>
      <c r="H700" s="209"/>
      <c r="I700" s="209"/>
      <c r="J700" s="209"/>
      <c r="K700" s="209"/>
      <c r="L700" s="209"/>
      <c r="M700" s="209"/>
      <c r="N700" s="209"/>
      <c r="O700" s="209"/>
    </row>
    <row r="701">
      <c r="B701" s="209"/>
      <c r="C701" s="209"/>
      <c r="D701" s="209"/>
      <c r="E701" s="209"/>
      <c r="F701" s="209"/>
      <c r="G701" s="209"/>
      <c r="H701" s="209"/>
      <c r="I701" s="209"/>
      <c r="J701" s="209"/>
      <c r="K701" s="209"/>
      <c r="L701" s="209"/>
      <c r="M701" s="209"/>
      <c r="N701" s="209"/>
      <c r="O701" s="209"/>
    </row>
    <row r="702">
      <c r="B702" s="209"/>
      <c r="C702" s="209"/>
      <c r="D702" s="209"/>
      <c r="E702" s="209"/>
      <c r="F702" s="209"/>
      <c r="G702" s="209"/>
      <c r="H702" s="209"/>
      <c r="I702" s="209"/>
      <c r="J702" s="209"/>
      <c r="K702" s="209"/>
      <c r="L702" s="209"/>
      <c r="M702" s="209"/>
      <c r="N702" s="209"/>
      <c r="O702" s="209"/>
    </row>
    <row r="703">
      <c r="B703" s="209"/>
      <c r="C703" s="209"/>
      <c r="D703" s="209"/>
      <c r="E703" s="209"/>
      <c r="F703" s="209"/>
      <c r="G703" s="209"/>
      <c r="H703" s="209"/>
      <c r="I703" s="209"/>
      <c r="J703" s="209"/>
      <c r="K703" s="209"/>
      <c r="L703" s="209"/>
      <c r="M703" s="209"/>
      <c r="N703" s="209"/>
      <c r="O703" s="209"/>
    </row>
    <row r="704">
      <c r="B704" s="209"/>
      <c r="C704" s="209"/>
      <c r="D704" s="209"/>
      <c r="E704" s="209"/>
      <c r="F704" s="209"/>
      <c r="G704" s="209"/>
      <c r="H704" s="209"/>
      <c r="I704" s="209"/>
      <c r="J704" s="209"/>
      <c r="K704" s="209"/>
      <c r="L704" s="209"/>
      <c r="M704" s="209"/>
      <c r="N704" s="209"/>
      <c r="O704" s="209"/>
    </row>
    <row r="705">
      <c r="B705" s="209"/>
      <c r="C705" s="209"/>
      <c r="D705" s="209"/>
      <c r="E705" s="209"/>
      <c r="F705" s="209"/>
      <c r="G705" s="209"/>
      <c r="H705" s="209"/>
      <c r="I705" s="209"/>
      <c r="J705" s="209"/>
      <c r="K705" s="209"/>
      <c r="L705" s="209"/>
      <c r="M705" s="209"/>
      <c r="N705" s="209"/>
      <c r="O705" s="209"/>
    </row>
    <row r="706">
      <c r="B706" s="209"/>
      <c r="C706" s="209"/>
      <c r="D706" s="209"/>
      <c r="E706" s="209"/>
      <c r="F706" s="209"/>
      <c r="G706" s="209"/>
      <c r="H706" s="209"/>
      <c r="I706" s="209"/>
      <c r="J706" s="209"/>
      <c r="K706" s="209"/>
      <c r="L706" s="209"/>
      <c r="M706" s="209"/>
      <c r="N706" s="209"/>
      <c r="O706" s="209"/>
    </row>
    <row r="707">
      <c r="B707" s="209"/>
      <c r="C707" s="209"/>
      <c r="D707" s="209"/>
      <c r="E707" s="209"/>
      <c r="F707" s="209"/>
      <c r="G707" s="209"/>
      <c r="H707" s="209"/>
      <c r="I707" s="209"/>
      <c r="J707" s="209"/>
      <c r="K707" s="209"/>
      <c r="L707" s="209"/>
      <c r="M707" s="209"/>
      <c r="N707" s="209"/>
      <c r="O707" s="209"/>
    </row>
    <row r="708">
      <c r="B708" s="209"/>
      <c r="C708" s="209"/>
      <c r="D708" s="209"/>
      <c r="E708" s="209"/>
      <c r="F708" s="209"/>
      <c r="G708" s="209"/>
      <c r="H708" s="209"/>
      <c r="I708" s="209"/>
      <c r="J708" s="209"/>
      <c r="K708" s="209"/>
      <c r="L708" s="209"/>
      <c r="M708" s="209"/>
      <c r="N708" s="209"/>
      <c r="O708" s="209"/>
    </row>
    <row r="709">
      <c r="B709" s="209"/>
      <c r="C709" s="209"/>
      <c r="D709" s="209"/>
      <c r="E709" s="209"/>
      <c r="F709" s="209"/>
      <c r="G709" s="209"/>
      <c r="H709" s="209"/>
      <c r="I709" s="209"/>
      <c r="J709" s="209"/>
      <c r="K709" s="209"/>
      <c r="L709" s="209"/>
      <c r="M709" s="209"/>
      <c r="N709" s="209"/>
      <c r="O709" s="209"/>
    </row>
    <row r="710">
      <c r="B710" s="209"/>
      <c r="C710" s="209"/>
      <c r="D710" s="209"/>
      <c r="E710" s="209"/>
      <c r="F710" s="209"/>
      <c r="G710" s="209"/>
      <c r="H710" s="209"/>
      <c r="I710" s="209"/>
      <c r="J710" s="209"/>
      <c r="K710" s="209"/>
      <c r="L710" s="209"/>
      <c r="M710" s="209"/>
      <c r="N710" s="209"/>
      <c r="O710" s="209"/>
    </row>
    <row r="711">
      <c r="B711" s="209"/>
      <c r="C711" s="209"/>
      <c r="D711" s="209"/>
      <c r="E711" s="209"/>
      <c r="F711" s="209"/>
      <c r="G711" s="209"/>
      <c r="H711" s="209"/>
      <c r="I711" s="209"/>
      <c r="J711" s="209"/>
      <c r="K711" s="209"/>
      <c r="L711" s="209"/>
      <c r="M711" s="209"/>
      <c r="N711" s="209"/>
      <c r="O711" s="209"/>
    </row>
    <row r="712">
      <c r="B712" s="209"/>
      <c r="C712" s="209"/>
      <c r="D712" s="209"/>
      <c r="E712" s="209"/>
      <c r="F712" s="209"/>
      <c r="G712" s="209"/>
      <c r="H712" s="209"/>
      <c r="I712" s="209"/>
      <c r="J712" s="209"/>
      <c r="K712" s="209"/>
      <c r="L712" s="209"/>
      <c r="M712" s="209"/>
      <c r="N712" s="209"/>
      <c r="O712" s="209"/>
    </row>
    <row r="713">
      <c r="B713" s="209"/>
      <c r="C713" s="209"/>
      <c r="D713" s="209"/>
      <c r="E713" s="209"/>
      <c r="F713" s="209"/>
      <c r="G713" s="209"/>
      <c r="H713" s="209"/>
      <c r="I713" s="209"/>
      <c r="J713" s="209"/>
      <c r="K713" s="209"/>
      <c r="L713" s="209"/>
      <c r="M713" s="209"/>
      <c r="N713" s="209"/>
      <c r="O713" s="209"/>
    </row>
    <row r="714">
      <c r="B714" s="209"/>
      <c r="C714" s="209"/>
      <c r="D714" s="209"/>
      <c r="E714" s="209"/>
      <c r="F714" s="209"/>
      <c r="G714" s="209"/>
      <c r="H714" s="209"/>
      <c r="I714" s="209"/>
      <c r="J714" s="209"/>
      <c r="K714" s="209"/>
      <c r="L714" s="209"/>
      <c r="M714" s="209"/>
      <c r="N714" s="209"/>
      <c r="O714" s="209"/>
    </row>
    <row r="715">
      <c r="B715" s="209"/>
      <c r="C715" s="209"/>
      <c r="D715" s="209"/>
      <c r="E715" s="209"/>
      <c r="F715" s="209"/>
      <c r="G715" s="209"/>
      <c r="H715" s="209"/>
      <c r="I715" s="209"/>
      <c r="J715" s="209"/>
      <c r="K715" s="209"/>
      <c r="L715" s="209"/>
      <c r="M715" s="209"/>
      <c r="N715" s="209"/>
      <c r="O715" s="209"/>
    </row>
    <row r="716">
      <c r="B716" s="209"/>
      <c r="C716" s="209"/>
      <c r="D716" s="209"/>
      <c r="E716" s="209"/>
      <c r="F716" s="209"/>
      <c r="G716" s="209"/>
      <c r="H716" s="209"/>
      <c r="I716" s="209"/>
      <c r="J716" s="209"/>
      <c r="K716" s="209"/>
      <c r="L716" s="209"/>
      <c r="M716" s="209"/>
      <c r="N716" s="209"/>
      <c r="O716" s="209"/>
    </row>
    <row r="717">
      <c r="B717" s="209"/>
      <c r="C717" s="209"/>
      <c r="D717" s="209"/>
      <c r="E717" s="209"/>
      <c r="F717" s="209"/>
      <c r="G717" s="209"/>
      <c r="H717" s="209"/>
      <c r="I717" s="209"/>
      <c r="J717" s="209"/>
      <c r="K717" s="209"/>
      <c r="L717" s="209"/>
      <c r="M717" s="209"/>
      <c r="N717" s="209"/>
      <c r="O717" s="209"/>
    </row>
    <row r="718">
      <c r="B718" s="209"/>
      <c r="C718" s="209"/>
      <c r="D718" s="209"/>
      <c r="E718" s="209"/>
      <c r="F718" s="209"/>
      <c r="G718" s="209"/>
      <c r="H718" s="209"/>
      <c r="I718" s="209"/>
      <c r="J718" s="209"/>
      <c r="K718" s="209"/>
      <c r="L718" s="209"/>
      <c r="M718" s="209"/>
      <c r="N718" s="209"/>
      <c r="O718" s="209"/>
    </row>
    <row r="719">
      <c r="B719" s="209"/>
      <c r="C719" s="209"/>
      <c r="D719" s="209"/>
      <c r="E719" s="209"/>
      <c r="F719" s="209"/>
      <c r="G719" s="209"/>
      <c r="H719" s="209"/>
      <c r="I719" s="209"/>
      <c r="J719" s="209"/>
      <c r="K719" s="209"/>
      <c r="L719" s="209"/>
      <c r="M719" s="209"/>
      <c r="N719" s="209"/>
      <c r="O719" s="209"/>
    </row>
    <row r="720">
      <c r="B720" s="209"/>
      <c r="C720" s="209"/>
      <c r="D720" s="209"/>
      <c r="E720" s="209"/>
      <c r="F720" s="209"/>
      <c r="G720" s="209"/>
      <c r="H720" s="209"/>
      <c r="I720" s="209"/>
      <c r="J720" s="209"/>
      <c r="K720" s="209"/>
      <c r="L720" s="209"/>
      <c r="M720" s="209"/>
      <c r="N720" s="209"/>
      <c r="O720" s="209"/>
    </row>
    <row r="721">
      <c r="B721" s="209"/>
      <c r="C721" s="209"/>
      <c r="D721" s="209"/>
      <c r="E721" s="209"/>
      <c r="F721" s="209"/>
      <c r="G721" s="209"/>
      <c r="H721" s="209"/>
      <c r="I721" s="209"/>
      <c r="J721" s="209"/>
      <c r="K721" s="209"/>
      <c r="L721" s="209"/>
      <c r="M721" s="209"/>
      <c r="N721" s="209"/>
      <c r="O721" s="209"/>
    </row>
    <row r="722">
      <c r="B722" s="209"/>
      <c r="C722" s="209"/>
      <c r="D722" s="209"/>
      <c r="E722" s="209"/>
      <c r="F722" s="209"/>
      <c r="G722" s="209"/>
      <c r="H722" s="209"/>
      <c r="I722" s="209"/>
      <c r="J722" s="209"/>
      <c r="K722" s="209"/>
      <c r="L722" s="209"/>
      <c r="M722" s="209"/>
      <c r="N722" s="209"/>
      <c r="O722" s="209"/>
    </row>
    <row r="723">
      <c r="B723" s="209"/>
      <c r="C723" s="209"/>
      <c r="D723" s="209"/>
      <c r="E723" s="209"/>
      <c r="F723" s="209"/>
      <c r="G723" s="209"/>
      <c r="H723" s="209"/>
      <c r="I723" s="209"/>
      <c r="J723" s="209"/>
      <c r="K723" s="209"/>
      <c r="L723" s="209"/>
      <c r="M723" s="209"/>
      <c r="N723" s="209"/>
      <c r="O723" s="209"/>
    </row>
    <row r="724">
      <c r="B724" s="209"/>
      <c r="C724" s="209"/>
      <c r="D724" s="209"/>
      <c r="E724" s="209"/>
      <c r="F724" s="209"/>
      <c r="G724" s="209"/>
      <c r="H724" s="209"/>
      <c r="I724" s="209"/>
      <c r="J724" s="209"/>
      <c r="K724" s="209"/>
      <c r="L724" s="209"/>
      <c r="M724" s="209"/>
      <c r="N724" s="209"/>
      <c r="O724" s="209"/>
    </row>
    <row r="725">
      <c r="B725" s="209"/>
      <c r="C725" s="209"/>
      <c r="D725" s="209"/>
      <c r="E725" s="209"/>
      <c r="F725" s="209"/>
      <c r="G725" s="209"/>
      <c r="H725" s="209"/>
      <c r="I725" s="209"/>
      <c r="J725" s="209"/>
      <c r="K725" s="209"/>
      <c r="L725" s="209"/>
      <c r="M725" s="209"/>
      <c r="N725" s="209"/>
      <c r="O725" s="209"/>
    </row>
    <row r="726">
      <c r="B726" s="209"/>
      <c r="C726" s="209"/>
      <c r="D726" s="209"/>
      <c r="E726" s="209"/>
      <c r="F726" s="209"/>
      <c r="G726" s="209"/>
      <c r="H726" s="209"/>
      <c r="I726" s="209"/>
      <c r="J726" s="209"/>
      <c r="K726" s="209"/>
      <c r="L726" s="209"/>
      <c r="M726" s="209"/>
      <c r="N726" s="209"/>
      <c r="O726" s="209"/>
    </row>
    <row r="727">
      <c r="B727" s="209"/>
      <c r="C727" s="209"/>
      <c r="D727" s="209"/>
      <c r="E727" s="209"/>
      <c r="F727" s="209"/>
      <c r="G727" s="209"/>
      <c r="H727" s="209"/>
      <c r="I727" s="209"/>
      <c r="J727" s="209"/>
      <c r="K727" s="209"/>
      <c r="L727" s="209"/>
      <c r="M727" s="209"/>
      <c r="N727" s="209"/>
      <c r="O727" s="209"/>
    </row>
    <row r="728">
      <c r="B728" s="209"/>
      <c r="C728" s="209"/>
      <c r="D728" s="209"/>
      <c r="E728" s="209"/>
      <c r="F728" s="209"/>
      <c r="G728" s="209"/>
      <c r="H728" s="209"/>
      <c r="I728" s="209"/>
      <c r="J728" s="209"/>
      <c r="K728" s="209"/>
      <c r="L728" s="209"/>
      <c r="M728" s="209"/>
      <c r="N728" s="209"/>
      <c r="O728" s="209"/>
    </row>
    <row r="729">
      <c r="B729" s="209"/>
      <c r="C729" s="209"/>
      <c r="D729" s="209"/>
      <c r="E729" s="209"/>
      <c r="F729" s="209"/>
      <c r="G729" s="209"/>
      <c r="H729" s="209"/>
      <c r="I729" s="209"/>
      <c r="J729" s="209"/>
      <c r="K729" s="209"/>
      <c r="L729" s="209"/>
      <c r="M729" s="209"/>
      <c r="N729" s="209"/>
      <c r="O729" s="209"/>
    </row>
    <row r="730">
      <c r="B730" s="209"/>
      <c r="C730" s="209"/>
      <c r="D730" s="209"/>
      <c r="E730" s="209"/>
      <c r="F730" s="209"/>
      <c r="G730" s="209"/>
      <c r="H730" s="209"/>
      <c r="I730" s="209"/>
      <c r="J730" s="209"/>
      <c r="K730" s="209"/>
      <c r="L730" s="209"/>
      <c r="M730" s="209"/>
      <c r="N730" s="209"/>
      <c r="O730" s="209"/>
    </row>
    <row r="731">
      <c r="B731" s="209"/>
      <c r="C731" s="209"/>
      <c r="D731" s="209"/>
      <c r="E731" s="209"/>
      <c r="F731" s="209"/>
      <c r="G731" s="209"/>
      <c r="H731" s="209"/>
      <c r="I731" s="209"/>
      <c r="J731" s="209"/>
      <c r="K731" s="209"/>
      <c r="L731" s="209"/>
      <c r="M731" s="209"/>
      <c r="N731" s="209"/>
      <c r="O731" s="209"/>
    </row>
    <row r="732">
      <c r="B732" s="209"/>
      <c r="C732" s="209"/>
      <c r="D732" s="209"/>
      <c r="E732" s="209"/>
      <c r="F732" s="209"/>
      <c r="G732" s="209"/>
      <c r="H732" s="209"/>
      <c r="I732" s="209"/>
      <c r="J732" s="209"/>
      <c r="K732" s="209"/>
      <c r="L732" s="209"/>
      <c r="M732" s="209"/>
      <c r="N732" s="209"/>
      <c r="O732" s="209"/>
    </row>
    <row r="733">
      <c r="B733" s="209"/>
      <c r="C733" s="209"/>
      <c r="D733" s="209"/>
      <c r="E733" s="209"/>
      <c r="F733" s="209"/>
      <c r="G733" s="209"/>
      <c r="H733" s="209"/>
      <c r="I733" s="209"/>
      <c r="J733" s="209"/>
      <c r="K733" s="209"/>
      <c r="L733" s="209"/>
      <c r="M733" s="209"/>
      <c r="N733" s="209"/>
      <c r="O733" s="209"/>
    </row>
    <row r="734">
      <c r="B734" s="209"/>
      <c r="C734" s="209"/>
      <c r="D734" s="209"/>
      <c r="E734" s="209"/>
      <c r="F734" s="209"/>
      <c r="G734" s="209"/>
      <c r="H734" s="209"/>
      <c r="I734" s="209"/>
      <c r="J734" s="209"/>
      <c r="K734" s="209"/>
      <c r="L734" s="209"/>
      <c r="M734" s="209"/>
      <c r="N734" s="209"/>
      <c r="O734" s="209"/>
    </row>
    <row r="735">
      <c r="B735" s="209"/>
      <c r="C735" s="209"/>
      <c r="D735" s="209"/>
      <c r="E735" s="209"/>
      <c r="F735" s="209"/>
      <c r="G735" s="209"/>
      <c r="H735" s="209"/>
      <c r="I735" s="209"/>
      <c r="J735" s="209"/>
      <c r="K735" s="209"/>
      <c r="L735" s="209"/>
      <c r="M735" s="209"/>
      <c r="N735" s="209"/>
      <c r="O735" s="209"/>
    </row>
    <row r="736">
      <c r="B736" s="209"/>
      <c r="C736" s="209"/>
      <c r="D736" s="209"/>
      <c r="E736" s="209"/>
      <c r="F736" s="209"/>
      <c r="G736" s="209"/>
      <c r="H736" s="209"/>
      <c r="I736" s="209"/>
      <c r="J736" s="209"/>
      <c r="K736" s="209"/>
      <c r="L736" s="209"/>
      <c r="M736" s="209"/>
      <c r="N736" s="209"/>
      <c r="O736" s="209"/>
    </row>
    <row r="737">
      <c r="B737" s="209"/>
      <c r="C737" s="209"/>
      <c r="D737" s="209"/>
      <c r="E737" s="209"/>
      <c r="F737" s="209"/>
      <c r="G737" s="209"/>
      <c r="H737" s="209"/>
      <c r="I737" s="209"/>
      <c r="J737" s="209"/>
      <c r="K737" s="209"/>
      <c r="L737" s="209"/>
      <c r="M737" s="209"/>
      <c r="N737" s="209"/>
      <c r="O737" s="209"/>
    </row>
    <row r="738">
      <c r="B738" s="209"/>
      <c r="C738" s="209"/>
      <c r="D738" s="209"/>
      <c r="E738" s="209"/>
      <c r="F738" s="209"/>
      <c r="G738" s="209"/>
      <c r="H738" s="209"/>
      <c r="I738" s="209"/>
      <c r="J738" s="209"/>
      <c r="K738" s="209"/>
      <c r="L738" s="209"/>
      <c r="M738" s="209"/>
      <c r="N738" s="209"/>
      <c r="O738" s="209"/>
    </row>
    <row r="739">
      <c r="B739" s="209"/>
      <c r="C739" s="209"/>
      <c r="D739" s="209"/>
      <c r="E739" s="209"/>
      <c r="F739" s="209"/>
      <c r="G739" s="209"/>
      <c r="H739" s="209"/>
      <c r="I739" s="209"/>
      <c r="J739" s="209"/>
      <c r="K739" s="209"/>
      <c r="L739" s="209"/>
      <c r="M739" s="209"/>
      <c r="N739" s="209"/>
      <c r="O739" s="209"/>
    </row>
    <row r="740">
      <c r="B740" s="209"/>
      <c r="C740" s="209"/>
      <c r="D740" s="209"/>
      <c r="E740" s="209"/>
      <c r="F740" s="209"/>
      <c r="G740" s="209"/>
      <c r="H740" s="209"/>
      <c r="I740" s="209"/>
      <c r="J740" s="209"/>
      <c r="K740" s="209"/>
      <c r="L740" s="209"/>
      <c r="M740" s="209"/>
      <c r="N740" s="209"/>
      <c r="O740" s="209"/>
    </row>
    <row r="741">
      <c r="B741" s="209"/>
      <c r="C741" s="209"/>
      <c r="D741" s="209"/>
      <c r="E741" s="209"/>
      <c r="F741" s="209"/>
      <c r="G741" s="209"/>
      <c r="H741" s="209"/>
      <c r="I741" s="209"/>
      <c r="J741" s="209"/>
      <c r="K741" s="209"/>
      <c r="L741" s="209"/>
      <c r="M741" s="209"/>
      <c r="N741" s="209"/>
      <c r="O741" s="209"/>
    </row>
    <row r="742">
      <c r="B742" s="209"/>
      <c r="C742" s="209"/>
      <c r="D742" s="209"/>
      <c r="E742" s="209"/>
      <c r="F742" s="209"/>
      <c r="G742" s="209"/>
      <c r="H742" s="209"/>
      <c r="I742" s="209"/>
      <c r="J742" s="209"/>
      <c r="K742" s="209"/>
      <c r="L742" s="209"/>
      <c r="M742" s="209"/>
      <c r="N742" s="209"/>
      <c r="O742" s="209"/>
    </row>
    <row r="743">
      <c r="B743" s="209"/>
      <c r="C743" s="209"/>
      <c r="D743" s="209"/>
      <c r="E743" s="209"/>
      <c r="F743" s="209"/>
      <c r="G743" s="209"/>
      <c r="H743" s="209"/>
      <c r="I743" s="209"/>
      <c r="J743" s="209"/>
      <c r="K743" s="209"/>
      <c r="L743" s="209"/>
      <c r="M743" s="209"/>
      <c r="N743" s="209"/>
      <c r="O743" s="209"/>
    </row>
    <row r="744">
      <c r="B744" s="209"/>
      <c r="C744" s="209"/>
      <c r="D744" s="209"/>
      <c r="E744" s="209"/>
      <c r="F744" s="209"/>
      <c r="G744" s="209"/>
      <c r="H744" s="209"/>
      <c r="I744" s="209"/>
      <c r="J744" s="209"/>
      <c r="K744" s="209"/>
      <c r="L744" s="209"/>
      <c r="M744" s="209"/>
      <c r="N744" s="209"/>
      <c r="O744" s="209"/>
    </row>
    <row r="745">
      <c r="B745" s="209"/>
      <c r="C745" s="209"/>
      <c r="D745" s="209"/>
      <c r="E745" s="209"/>
      <c r="F745" s="209"/>
      <c r="G745" s="209"/>
      <c r="H745" s="209"/>
      <c r="I745" s="209"/>
      <c r="J745" s="209"/>
      <c r="K745" s="209"/>
      <c r="L745" s="209"/>
      <c r="M745" s="209"/>
      <c r="N745" s="209"/>
      <c r="O745" s="209"/>
    </row>
    <row r="746">
      <c r="B746" s="209"/>
      <c r="C746" s="209"/>
      <c r="D746" s="209"/>
      <c r="E746" s="209"/>
      <c r="F746" s="209"/>
      <c r="G746" s="209"/>
      <c r="H746" s="209"/>
      <c r="I746" s="209"/>
      <c r="J746" s="209"/>
      <c r="K746" s="209"/>
      <c r="L746" s="209"/>
      <c r="M746" s="209"/>
      <c r="N746" s="209"/>
      <c r="O746" s="209"/>
    </row>
    <row r="747">
      <c r="B747" s="209"/>
      <c r="C747" s="209"/>
      <c r="D747" s="209"/>
      <c r="E747" s="209"/>
      <c r="F747" s="209"/>
      <c r="G747" s="209"/>
      <c r="H747" s="209"/>
      <c r="I747" s="209"/>
      <c r="J747" s="209"/>
      <c r="K747" s="209"/>
      <c r="L747" s="209"/>
      <c r="M747" s="209"/>
      <c r="N747" s="209"/>
      <c r="O747" s="209"/>
    </row>
    <row r="748">
      <c r="B748" s="209"/>
      <c r="C748" s="209"/>
      <c r="D748" s="209"/>
      <c r="E748" s="209"/>
      <c r="F748" s="209"/>
      <c r="G748" s="209"/>
      <c r="H748" s="209"/>
      <c r="I748" s="209"/>
      <c r="J748" s="209"/>
      <c r="K748" s="209"/>
      <c r="L748" s="209"/>
      <c r="M748" s="209"/>
      <c r="N748" s="209"/>
      <c r="O748" s="209"/>
    </row>
    <row r="749">
      <c r="B749" s="209"/>
      <c r="C749" s="209"/>
      <c r="D749" s="209"/>
      <c r="E749" s="209"/>
      <c r="F749" s="209"/>
      <c r="G749" s="209"/>
      <c r="H749" s="209"/>
      <c r="I749" s="209"/>
      <c r="J749" s="209"/>
      <c r="K749" s="209"/>
      <c r="L749" s="209"/>
      <c r="M749" s="209"/>
      <c r="N749" s="209"/>
      <c r="O749" s="209"/>
    </row>
    <row r="750">
      <c r="B750" s="209"/>
      <c r="C750" s="209"/>
      <c r="D750" s="209"/>
      <c r="E750" s="209"/>
      <c r="F750" s="209"/>
      <c r="G750" s="209"/>
      <c r="H750" s="209"/>
      <c r="I750" s="209"/>
      <c r="J750" s="209"/>
      <c r="K750" s="209"/>
      <c r="L750" s="209"/>
      <c r="M750" s="209"/>
      <c r="N750" s="209"/>
      <c r="O750" s="209"/>
    </row>
    <row r="751">
      <c r="B751" s="209"/>
      <c r="C751" s="209"/>
      <c r="D751" s="209"/>
      <c r="E751" s="209"/>
      <c r="F751" s="209"/>
      <c r="G751" s="209"/>
      <c r="H751" s="209"/>
      <c r="I751" s="209"/>
      <c r="J751" s="209"/>
      <c r="K751" s="209"/>
      <c r="L751" s="209"/>
      <c r="M751" s="209"/>
      <c r="N751" s="209"/>
      <c r="O751" s="209"/>
    </row>
    <row r="752">
      <c r="B752" s="209"/>
      <c r="C752" s="209"/>
      <c r="D752" s="209"/>
      <c r="E752" s="209"/>
      <c r="F752" s="209"/>
      <c r="G752" s="209"/>
      <c r="H752" s="209"/>
      <c r="I752" s="209"/>
      <c r="J752" s="209"/>
      <c r="K752" s="209"/>
      <c r="L752" s="209"/>
      <c r="M752" s="209"/>
      <c r="N752" s="209"/>
      <c r="O752" s="209"/>
    </row>
    <row r="753">
      <c r="B753" s="209"/>
      <c r="C753" s="209"/>
      <c r="D753" s="209"/>
      <c r="E753" s="209"/>
      <c r="F753" s="209"/>
      <c r="G753" s="209"/>
      <c r="H753" s="209"/>
      <c r="I753" s="209"/>
      <c r="J753" s="209"/>
      <c r="K753" s="209"/>
      <c r="L753" s="209"/>
      <c r="M753" s="209"/>
      <c r="N753" s="209"/>
      <c r="O753" s="209"/>
    </row>
    <row r="754">
      <c r="B754" s="209"/>
      <c r="C754" s="209"/>
      <c r="D754" s="209"/>
      <c r="E754" s="209"/>
      <c r="F754" s="209"/>
      <c r="G754" s="209"/>
      <c r="H754" s="209"/>
      <c r="I754" s="209"/>
      <c r="J754" s="209"/>
      <c r="K754" s="209"/>
      <c r="L754" s="209"/>
      <c r="M754" s="209"/>
      <c r="N754" s="209"/>
      <c r="O754" s="209"/>
    </row>
    <row r="755">
      <c r="B755" s="209"/>
      <c r="C755" s="209"/>
      <c r="D755" s="209"/>
      <c r="E755" s="209"/>
      <c r="F755" s="209"/>
      <c r="G755" s="209"/>
      <c r="H755" s="209"/>
      <c r="I755" s="209"/>
      <c r="J755" s="209"/>
      <c r="K755" s="209"/>
      <c r="L755" s="209"/>
      <c r="M755" s="209"/>
      <c r="N755" s="209"/>
      <c r="O755" s="209"/>
    </row>
    <row r="756">
      <c r="B756" s="209"/>
      <c r="C756" s="209"/>
      <c r="D756" s="209"/>
      <c r="E756" s="209"/>
      <c r="F756" s="209"/>
      <c r="G756" s="209"/>
      <c r="H756" s="209"/>
      <c r="I756" s="209"/>
      <c r="J756" s="209"/>
      <c r="K756" s="209"/>
      <c r="L756" s="209"/>
      <c r="M756" s="209"/>
      <c r="N756" s="209"/>
      <c r="O756" s="209"/>
    </row>
    <row r="757">
      <c r="B757" s="209"/>
      <c r="C757" s="209"/>
      <c r="D757" s="209"/>
      <c r="E757" s="209"/>
      <c r="F757" s="209"/>
      <c r="G757" s="209"/>
      <c r="H757" s="209"/>
      <c r="I757" s="209"/>
      <c r="J757" s="209"/>
      <c r="K757" s="209"/>
      <c r="L757" s="209"/>
      <c r="M757" s="209"/>
      <c r="N757" s="209"/>
      <c r="O757" s="209"/>
    </row>
    <row r="758">
      <c r="B758" s="209"/>
      <c r="C758" s="209"/>
      <c r="D758" s="209"/>
      <c r="E758" s="209"/>
      <c r="F758" s="209"/>
      <c r="G758" s="209"/>
      <c r="H758" s="209"/>
      <c r="I758" s="209"/>
      <c r="J758" s="209"/>
      <c r="K758" s="209"/>
      <c r="L758" s="209"/>
      <c r="M758" s="209"/>
      <c r="N758" s="209"/>
      <c r="O758" s="209"/>
    </row>
    <row r="759">
      <c r="B759" s="209"/>
      <c r="C759" s="209"/>
      <c r="D759" s="209"/>
      <c r="E759" s="209"/>
      <c r="F759" s="209"/>
      <c r="G759" s="209"/>
      <c r="H759" s="209"/>
      <c r="I759" s="209"/>
      <c r="J759" s="209"/>
      <c r="K759" s="209"/>
      <c r="L759" s="209"/>
      <c r="M759" s="209"/>
      <c r="N759" s="209"/>
      <c r="O759" s="209"/>
    </row>
    <row r="760">
      <c r="B760" s="209"/>
      <c r="C760" s="209"/>
      <c r="D760" s="209"/>
      <c r="E760" s="209"/>
      <c r="F760" s="209"/>
      <c r="G760" s="209"/>
      <c r="H760" s="209"/>
      <c r="I760" s="209"/>
      <c r="J760" s="209"/>
      <c r="K760" s="209"/>
      <c r="L760" s="209"/>
      <c r="M760" s="209"/>
      <c r="N760" s="209"/>
      <c r="O760" s="209"/>
    </row>
    <row r="761">
      <c r="B761" s="209"/>
      <c r="C761" s="209"/>
      <c r="D761" s="209"/>
      <c r="E761" s="209"/>
      <c r="F761" s="209"/>
      <c r="G761" s="209"/>
      <c r="H761" s="209"/>
      <c r="I761" s="209"/>
      <c r="J761" s="209"/>
      <c r="K761" s="209"/>
      <c r="L761" s="209"/>
      <c r="M761" s="209"/>
      <c r="N761" s="209"/>
      <c r="O761" s="209"/>
    </row>
    <row r="762">
      <c r="B762" s="209"/>
      <c r="C762" s="209"/>
      <c r="D762" s="209"/>
      <c r="E762" s="209"/>
      <c r="F762" s="209"/>
      <c r="G762" s="209"/>
      <c r="H762" s="209"/>
      <c r="I762" s="209"/>
      <c r="J762" s="209"/>
      <c r="K762" s="209"/>
      <c r="L762" s="209"/>
      <c r="M762" s="209"/>
      <c r="N762" s="209"/>
      <c r="O762" s="209"/>
    </row>
    <row r="763">
      <c r="B763" s="209"/>
      <c r="C763" s="209"/>
      <c r="D763" s="209"/>
      <c r="E763" s="209"/>
      <c r="F763" s="209"/>
      <c r="G763" s="209"/>
      <c r="H763" s="209"/>
      <c r="I763" s="209"/>
      <c r="J763" s="209"/>
      <c r="K763" s="209"/>
      <c r="L763" s="209"/>
      <c r="M763" s="209"/>
      <c r="N763" s="209"/>
      <c r="O763" s="209"/>
    </row>
    <row r="764">
      <c r="B764" s="209"/>
      <c r="C764" s="209"/>
      <c r="D764" s="209"/>
      <c r="E764" s="209"/>
      <c r="F764" s="209"/>
      <c r="G764" s="209"/>
      <c r="H764" s="209"/>
      <c r="I764" s="209"/>
      <c r="J764" s="209"/>
      <c r="K764" s="209"/>
      <c r="L764" s="209"/>
      <c r="M764" s="209"/>
      <c r="N764" s="209"/>
      <c r="O764" s="209"/>
    </row>
    <row r="765">
      <c r="B765" s="209"/>
      <c r="C765" s="209"/>
      <c r="D765" s="209"/>
      <c r="E765" s="209"/>
      <c r="F765" s="209"/>
      <c r="G765" s="209"/>
      <c r="H765" s="209"/>
      <c r="I765" s="209"/>
      <c r="J765" s="209"/>
      <c r="K765" s="209"/>
      <c r="L765" s="209"/>
      <c r="M765" s="209"/>
      <c r="N765" s="209"/>
      <c r="O765" s="209"/>
    </row>
    <row r="766">
      <c r="B766" s="209"/>
      <c r="C766" s="209"/>
      <c r="D766" s="209"/>
      <c r="E766" s="209"/>
      <c r="F766" s="209"/>
      <c r="G766" s="209"/>
      <c r="H766" s="209"/>
      <c r="I766" s="209"/>
      <c r="J766" s="209"/>
      <c r="K766" s="209"/>
      <c r="L766" s="209"/>
      <c r="M766" s="209"/>
      <c r="N766" s="209"/>
      <c r="O766" s="209"/>
    </row>
    <row r="767">
      <c r="B767" s="209"/>
      <c r="C767" s="209"/>
      <c r="D767" s="209"/>
      <c r="E767" s="209"/>
      <c r="F767" s="209"/>
      <c r="G767" s="209"/>
      <c r="H767" s="209"/>
      <c r="I767" s="209"/>
      <c r="J767" s="209"/>
      <c r="K767" s="209"/>
      <c r="L767" s="209"/>
      <c r="M767" s="209"/>
      <c r="N767" s="209"/>
      <c r="O767" s="209"/>
    </row>
    <row r="768">
      <c r="B768" s="209"/>
      <c r="C768" s="209"/>
      <c r="D768" s="209"/>
      <c r="E768" s="209"/>
      <c r="F768" s="209"/>
      <c r="G768" s="209"/>
      <c r="H768" s="209"/>
      <c r="I768" s="209"/>
      <c r="J768" s="209"/>
      <c r="K768" s="209"/>
      <c r="L768" s="209"/>
      <c r="M768" s="209"/>
      <c r="N768" s="209"/>
      <c r="O768" s="209"/>
    </row>
    <row r="769">
      <c r="B769" s="209"/>
      <c r="C769" s="209"/>
      <c r="D769" s="209"/>
      <c r="E769" s="209"/>
      <c r="F769" s="209"/>
      <c r="G769" s="209"/>
      <c r="H769" s="209"/>
      <c r="I769" s="209"/>
      <c r="J769" s="209"/>
      <c r="K769" s="209"/>
      <c r="L769" s="209"/>
      <c r="M769" s="209"/>
      <c r="N769" s="209"/>
      <c r="O769" s="209"/>
    </row>
    <row r="770">
      <c r="B770" s="209"/>
      <c r="C770" s="209"/>
      <c r="D770" s="209"/>
      <c r="E770" s="209"/>
      <c r="F770" s="209"/>
      <c r="G770" s="209"/>
      <c r="H770" s="209"/>
      <c r="I770" s="209"/>
      <c r="J770" s="209"/>
      <c r="K770" s="209"/>
      <c r="L770" s="209"/>
      <c r="M770" s="209"/>
      <c r="N770" s="209"/>
      <c r="O770" s="209"/>
    </row>
    <row r="771">
      <c r="B771" s="209"/>
      <c r="C771" s="209"/>
      <c r="D771" s="209"/>
      <c r="E771" s="209"/>
      <c r="F771" s="209"/>
      <c r="G771" s="209"/>
      <c r="H771" s="209"/>
      <c r="I771" s="209"/>
      <c r="J771" s="209"/>
      <c r="K771" s="209"/>
      <c r="L771" s="209"/>
      <c r="M771" s="209"/>
      <c r="N771" s="209"/>
      <c r="O771" s="209"/>
    </row>
    <row r="772">
      <c r="B772" s="209"/>
      <c r="C772" s="209"/>
      <c r="D772" s="209"/>
      <c r="E772" s="209"/>
      <c r="F772" s="209"/>
      <c r="G772" s="209"/>
      <c r="H772" s="209"/>
      <c r="I772" s="209"/>
      <c r="J772" s="209"/>
      <c r="K772" s="209"/>
      <c r="L772" s="209"/>
      <c r="M772" s="209"/>
      <c r="N772" s="209"/>
      <c r="O772" s="209"/>
    </row>
    <row r="773">
      <c r="B773" s="209"/>
      <c r="C773" s="209"/>
      <c r="D773" s="209"/>
      <c r="E773" s="209"/>
      <c r="F773" s="209"/>
      <c r="G773" s="209"/>
      <c r="H773" s="209"/>
      <c r="I773" s="209"/>
      <c r="J773" s="209"/>
      <c r="K773" s="209"/>
      <c r="L773" s="209"/>
      <c r="M773" s="209"/>
      <c r="N773" s="209"/>
      <c r="O773" s="209"/>
    </row>
    <row r="774">
      <c r="B774" s="209"/>
      <c r="C774" s="209"/>
      <c r="D774" s="209"/>
      <c r="E774" s="209"/>
      <c r="F774" s="209"/>
      <c r="G774" s="209"/>
      <c r="H774" s="209"/>
      <c r="I774" s="209"/>
      <c r="J774" s="209"/>
      <c r="K774" s="209"/>
      <c r="L774" s="209"/>
      <c r="M774" s="209"/>
      <c r="N774" s="209"/>
      <c r="O774" s="209"/>
    </row>
    <row r="775">
      <c r="B775" s="209"/>
      <c r="C775" s="209"/>
      <c r="D775" s="209"/>
      <c r="E775" s="209"/>
      <c r="F775" s="209"/>
      <c r="G775" s="209"/>
      <c r="H775" s="209"/>
      <c r="I775" s="209"/>
      <c r="J775" s="209"/>
      <c r="K775" s="209"/>
      <c r="L775" s="209"/>
      <c r="M775" s="209"/>
      <c r="N775" s="209"/>
      <c r="O775" s="209"/>
    </row>
    <row r="776">
      <c r="B776" s="209"/>
      <c r="C776" s="209"/>
      <c r="D776" s="209"/>
      <c r="E776" s="209"/>
      <c r="F776" s="209"/>
      <c r="G776" s="209"/>
      <c r="H776" s="209"/>
      <c r="I776" s="209"/>
      <c r="J776" s="209"/>
      <c r="K776" s="209"/>
      <c r="L776" s="209"/>
      <c r="M776" s="209"/>
      <c r="N776" s="209"/>
      <c r="O776" s="209"/>
    </row>
    <row r="777">
      <c r="B777" s="209"/>
      <c r="C777" s="209"/>
      <c r="D777" s="209"/>
      <c r="E777" s="209"/>
      <c r="F777" s="209"/>
      <c r="G777" s="209"/>
      <c r="H777" s="209"/>
      <c r="I777" s="209"/>
      <c r="J777" s="209"/>
      <c r="K777" s="209"/>
      <c r="L777" s="209"/>
      <c r="M777" s="209"/>
      <c r="N777" s="209"/>
      <c r="O777" s="209"/>
    </row>
    <row r="778">
      <c r="B778" s="209"/>
      <c r="C778" s="209"/>
      <c r="D778" s="209"/>
      <c r="E778" s="209"/>
      <c r="F778" s="209"/>
      <c r="G778" s="209"/>
      <c r="H778" s="209"/>
      <c r="I778" s="209"/>
      <c r="J778" s="209"/>
      <c r="K778" s="209"/>
      <c r="L778" s="209"/>
      <c r="M778" s="209"/>
      <c r="N778" s="209"/>
      <c r="O778" s="209"/>
    </row>
    <row r="779">
      <c r="B779" s="209"/>
      <c r="C779" s="209"/>
      <c r="D779" s="209"/>
      <c r="E779" s="209"/>
      <c r="F779" s="209"/>
      <c r="G779" s="209"/>
      <c r="H779" s="209"/>
      <c r="I779" s="209"/>
      <c r="J779" s="209"/>
      <c r="K779" s="209"/>
      <c r="L779" s="209"/>
      <c r="M779" s="209"/>
      <c r="N779" s="209"/>
      <c r="O779" s="209"/>
    </row>
    <row r="780">
      <c r="B780" s="209"/>
      <c r="C780" s="209"/>
      <c r="D780" s="209"/>
      <c r="E780" s="209"/>
      <c r="F780" s="209"/>
      <c r="G780" s="209"/>
      <c r="H780" s="209"/>
      <c r="I780" s="209"/>
      <c r="J780" s="209"/>
      <c r="K780" s="209"/>
      <c r="L780" s="209"/>
      <c r="M780" s="209"/>
      <c r="N780" s="209"/>
      <c r="O780" s="209"/>
    </row>
    <row r="781">
      <c r="B781" s="209"/>
      <c r="C781" s="209"/>
      <c r="D781" s="209"/>
      <c r="E781" s="209"/>
      <c r="F781" s="209"/>
      <c r="G781" s="209"/>
      <c r="H781" s="209"/>
      <c r="I781" s="209"/>
      <c r="J781" s="209"/>
      <c r="K781" s="209"/>
      <c r="L781" s="209"/>
      <c r="M781" s="209"/>
      <c r="N781" s="209"/>
      <c r="O781" s="209"/>
    </row>
    <row r="782">
      <c r="B782" s="209"/>
      <c r="C782" s="209"/>
      <c r="D782" s="209"/>
      <c r="E782" s="209"/>
      <c r="F782" s="209"/>
      <c r="G782" s="209"/>
      <c r="H782" s="209"/>
      <c r="I782" s="209"/>
      <c r="J782" s="209"/>
      <c r="K782" s="209"/>
      <c r="L782" s="209"/>
      <c r="M782" s="209"/>
      <c r="N782" s="209"/>
      <c r="O782" s="209"/>
    </row>
    <row r="783">
      <c r="B783" s="209"/>
      <c r="C783" s="209"/>
      <c r="D783" s="209"/>
      <c r="E783" s="209"/>
      <c r="F783" s="209"/>
      <c r="G783" s="209"/>
      <c r="H783" s="209"/>
      <c r="I783" s="209"/>
      <c r="J783" s="209"/>
      <c r="K783" s="209"/>
      <c r="L783" s="209"/>
      <c r="M783" s="209"/>
      <c r="N783" s="209"/>
      <c r="O783" s="209"/>
    </row>
    <row r="784">
      <c r="B784" s="209"/>
      <c r="C784" s="209"/>
      <c r="D784" s="209"/>
      <c r="E784" s="209"/>
      <c r="F784" s="209"/>
      <c r="G784" s="209"/>
      <c r="H784" s="209"/>
      <c r="I784" s="209"/>
      <c r="J784" s="209"/>
      <c r="K784" s="209"/>
      <c r="L784" s="209"/>
      <c r="M784" s="209"/>
      <c r="N784" s="209"/>
      <c r="O784" s="209"/>
    </row>
    <row r="785">
      <c r="B785" s="209"/>
      <c r="C785" s="209"/>
      <c r="D785" s="209"/>
      <c r="E785" s="209"/>
      <c r="F785" s="209"/>
      <c r="G785" s="209"/>
      <c r="H785" s="209"/>
      <c r="I785" s="209"/>
      <c r="J785" s="209"/>
      <c r="K785" s="209"/>
      <c r="L785" s="209"/>
      <c r="M785" s="209"/>
      <c r="N785" s="209"/>
      <c r="O785" s="209"/>
    </row>
    <row r="786">
      <c r="B786" s="209"/>
      <c r="C786" s="209"/>
      <c r="D786" s="209"/>
      <c r="E786" s="209"/>
      <c r="F786" s="209"/>
      <c r="G786" s="209"/>
      <c r="H786" s="209"/>
      <c r="I786" s="209"/>
      <c r="J786" s="209"/>
      <c r="K786" s="209"/>
      <c r="L786" s="209"/>
      <c r="M786" s="209"/>
      <c r="N786" s="209"/>
      <c r="O786" s="209"/>
    </row>
    <row r="787">
      <c r="B787" s="209"/>
      <c r="C787" s="209"/>
      <c r="D787" s="209"/>
      <c r="E787" s="209"/>
      <c r="F787" s="209"/>
      <c r="G787" s="209"/>
      <c r="H787" s="209"/>
      <c r="I787" s="209"/>
      <c r="J787" s="209"/>
      <c r="K787" s="209"/>
      <c r="L787" s="209"/>
      <c r="M787" s="209"/>
      <c r="N787" s="209"/>
      <c r="O787" s="209"/>
    </row>
    <row r="788">
      <c r="B788" s="209"/>
      <c r="C788" s="209"/>
      <c r="D788" s="209"/>
      <c r="E788" s="209"/>
      <c r="F788" s="209"/>
      <c r="G788" s="209"/>
      <c r="H788" s="209"/>
      <c r="I788" s="209"/>
      <c r="J788" s="209"/>
      <c r="K788" s="209"/>
      <c r="L788" s="209"/>
      <c r="M788" s="209"/>
      <c r="N788" s="209"/>
      <c r="O788" s="209"/>
    </row>
    <row r="789">
      <c r="B789" s="209"/>
      <c r="C789" s="209"/>
      <c r="D789" s="209"/>
      <c r="E789" s="209"/>
      <c r="F789" s="209"/>
      <c r="G789" s="209"/>
      <c r="H789" s="209"/>
      <c r="I789" s="209"/>
      <c r="J789" s="209"/>
      <c r="K789" s="209"/>
      <c r="L789" s="209"/>
      <c r="M789" s="209"/>
      <c r="N789" s="209"/>
      <c r="O789" s="209"/>
    </row>
    <row r="790">
      <c r="B790" s="209"/>
      <c r="C790" s="209"/>
      <c r="D790" s="209"/>
      <c r="E790" s="209"/>
      <c r="F790" s="209"/>
      <c r="G790" s="209"/>
      <c r="H790" s="209"/>
      <c r="I790" s="209"/>
      <c r="J790" s="209"/>
      <c r="K790" s="209"/>
      <c r="L790" s="209"/>
      <c r="M790" s="209"/>
      <c r="N790" s="209"/>
      <c r="O790" s="209"/>
    </row>
    <row r="791">
      <c r="B791" s="209"/>
      <c r="C791" s="209"/>
      <c r="D791" s="209"/>
      <c r="E791" s="209"/>
      <c r="F791" s="209"/>
      <c r="G791" s="209"/>
      <c r="H791" s="209"/>
      <c r="I791" s="209"/>
      <c r="J791" s="209"/>
      <c r="K791" s="209"/>
      <c r="L791" s="209"/>
      <c r="M791" s="209"/>
      <c r="N791" s="209"/>
      <c r="O791" s="209"/>
    </row>
    <row r="792">
      <c r="B792" s="209"/>
      <c r="C792" s="209"/>
      <c r="D792" s="209"/>
      <c r="E792" s="209"/>
      <c r="F792" s="209"/>
      <c r="G792" s="209"/>
      <c r="H792" s="209"/>
      <c r="I792" s="209"/>
      <c r="J792" s="209"/>
      <c r="K792" s="209"/>
      <c r="L792" s="209"/>
      <c r="M792" s="209"/>
      <c r="N792" s="209"/>
      <c r="O792" s="209"/>
    </row>
    <row r="793">
      <c r="B793" s="209"/>
      <c r="C793" s="209"/>
      <c r="D793" s="209"/>
      <c r="E793" s="209"/>
      <c r="F793" s="209"/>
      <c r="G793" s="209"/>
      <c r="H793" s="209"/>
      <c r="I793" s="209"/>
      <c r="J793" s="209"/>
      <c r="K793" s="209"/>
      <c r="L793" s="209"/>
      <c r="M793" s="209"/>
      <c r="N793" s="209"/>
      <c r="O793" s="209"/>
    </row>
    <row r="794">
      <c r="B794" s="209"/>
      <c r="C794" s="209"/>
      <c r="D794" s="209"/>
      <c r="E794" s="209"/>
      <c r="F794" s="209"/>
      <c r="G794" s="209"/>
      <c r="H794" s="209"/>
      <c r="I794" s="209"/>
      <c r="J794" s="209"/>
      <c r="K794" s="209"/>
      <c r="L794" s="209"/>
      <c r="M794" s="209"/>
      <c r="N794" s="209"/>
      <c r="O794" s="209"/>
    </row>
    <row r="795">
      <c r="B795" s="209"/>
      <c r="C795" s="209"/>
      <c r="D795" s="209"/>
      <c r="E795" s="209"/>
      <c r="F795" s="209"/>
      <c r="G795" s="209"/>
      <c r="H795" s="209"/>
      <c r="I795" s="209"/>
      <c r="J795" s="209"/>
      <c r="K795" s="209"/>
      <c r="L795" s="209"/>
      <c r="M795" s="209"/>
      <c r="N795" s="209"/>
      <c r="O795" s="209"/>
    </row>
    <row r="796">
      <c r="B796" s="209"/>
      <c r="C796" s="209"/>
      <c r="D796" s="209"/>
      <c r="E796" s="209"/>
      <c r="F796" s="209"/>
      <c r="G796" s="209"/>
      <c r="H796" s="209"/>
      <c r="I796" s="209"/>
      <c r="J796" s="209"/>
      <c r="K796" s="209"/>
      <c r="L796" s="209"/>
      <c r="M796" s="209"/>
      <c r="N796" s="209"/>
      <c r="O796" s="209"/>
    </row>
    <row r="797">
      <c r="B797" s="209"/>
      <c r="C797" s="209"/>
      <c r="D797" s="209"/>
      <c r="E797" s="209"/>
      <c r="F797" s="209"/>
      <c r="G797" s="209"/>
      <c r="H797" s="209"/>
      <c r="I797" s="209"/>
      <c r="J797" s="209"/>
      <c r="K797" s="209"/>
      <c r="L797" s="209"/>
      <c r="M797" s="209"/>
      <c r="N797" s="209"/>
      <c r="O797" s="209"/>
    </row>
    <row r="798">
      <c r="B798" s="209"/>
      <c r="C798" s="209"/>
      <c r="D798" s="209"/>
      <c r="E798" s="209"/>
      <c r="F798" s="209"/>
      <c r="G798" s="209"/>
      <c r="H798" s="209"/>
      <c r="I798" s="209"/>
      <c r="J798" s="209"/>
      <c r="K798" s="209"/>
      <c r="L798" s="209"/>
      <c r="M798" s="209"/>
      <c r="N798" s="209"/>
      <c r="O798" s="209"/>
    </row>
    <row r="799">
      <c r="B799" s="209"/>
      <c r="C799" s="209"/>
      <c r="D799" s="209"/>
      <c r="E799" s="209"/>
      <c r="F799" s="209"/>
      <c r="G799" s="209"/>
      <c r="H799" s="209"/>
      <c r="I799" s="209"/>
      <c r="J799" s="209"/>
      <c r="K799" s="209"/>
      <c r="L799" s="209"/>
      <c r="M799" s="209"/>
      <c r="N799" s="209"/>
      <c r="O799" s="209"/>
    </row>
    <row r="800">
      <c r="B800" s="209"/>
      <c r="C800" s="209"/>
      <c r="D800" s="209"/>
      <c r="E800" s="209"/>
      <c r="F800" s="209"/>
      <c r="G800" s="209"/>
      <c r="H800" s="209"/>
      <c r="I800" s="209"/>
      <c r="J800" s="209"/>
      <c r="K800" s="209"/>
      <c r="L800" s="209"/>
      <c r="M800" s="209"/>
      <c r="N800" s="209"/>
      <c r="O800" s="209"/>
    </row>
    <row r="801">
      <c r="B801" s="209"/>
      <c r="C801" s="209"/>
      <c r="D801" s="209"/>
      <c r="E801" s="209"/>
      <c r="F801" s="209"/>
      <c r="G801" s="209"/>
      <c r="H801" s="209"/>
      <c r="I801" s="209"/>
      <c r="J801" s="209"/>
      <c r="K801" s="209"/>
      <c r="L801" s="209"/>
      <c r="M801" s="209"/>
      <c r="N801" s="209"/>
      <c r="O801" s="209"/>
    </row>
    <row r="802">
      <c r="B802" s="209"/>
      <c r="C802" s="209"/>
      <c r="D802" s="209"/>
      <c r="E802" s="209"/>
      <c r="F802" s="209"/>
      <c r="G802" s="209"/>
      <c r="H802" s="209"/>
      <c r="I802" s="209"/>
      <c r="J802" s="209"/>
      <c r="K802" s="209"/>
      <c r="L802" s="209"/>
      <c r="M802" s="209"/>
      <c r="N802" s="209"/>
      <c r="O802" s="209"/>
    </row>
    <row r="803">
      <c r="B803" s="209"/>
      <c r="C803" s="209"/>
      <c r="D803" s="209"/>
      <c r="E803" s="209"/>
      <c r="F803" s="209"/>
      <c r="G803" s="209"/>
      <c r="H803" s="209"/>
      <c r="I803" s="209"/>
      <c r="J803" s="209"/>
      <c r="K803" s="209"/>
      <c r="L803" s="209"/>
      <c r="M803" s="209"/>
      <c r="N803" s="209"/>
      <c r="O803" s="209"/>
    </row>
    <row r="804">
      <c r="B804" s="209"/>
      <c r="C804" s="209"/>
      <c r="D804" s="209"/>
      <c r="E804" s="209"/>
      <c r="F804" s="209"/>
      <c r="G804" s="209"/>
      <c r="H804" s="209"/>
      <c r="I804" s="209"/>
      <c r="J804" s="209"/>
      <c r="K804" s="209"/>
      <c r="L804" s="209"/>
      <c r="M804" s="209"/>
      <c r="N804" s="209"/>
      <c r="O804" s="209"/>
    </row>
    <row r="805">
      <c r="B805" s="209"/>
      <c r="C805" s="209"/>
      <c r="D805" s="209"/>
      <c r="E805" s="209"/>
      <c r="F805" s="209"/>
      <c r="G805" s="209"/>
      <c r="H805" s="209"/>
      <c r="I805" s="209"/>
      <c r="J805" s="209"/>
      <c r="K805" s="209"/>
      <c r="L805" s="209"/>
      <c r="M805" s="209"/>
      <c r="N805" s="209"/>
      <c r="O805" s="209"/>
    </row>
    <row r="806">
      <c r="B806" s="209"/>
      <c r="C806" s="209"/>
      <c r="D806" s="209"/>
      <c r="E806" s="209"/>
      <c r="F806" s="209"/>
      <c r="G806" s="209"/>
      <c r="H806" s="209"/>
      <c r="I806" s="209"/>
      <c r="J806" s="209"/>
      <c r="K806" s="209"/>
      <c r="L806" s="209"/>
      <c r="M806" s="209"/>
      <c r="N806" s="209"/>
      <c r="O806" s="209"/>
    </row>
    <row r="807">
      <c r="B807" s="209"/>
      <c r="C807" s="209"/>
      <c r="D807" s="209"/>
      <c r="E807" s="209"/>
      <c r="F807" s="209"/>
      <c r="G807" s="209"/>
      <c r="H807" s="209"/>
      <c r="I807" s="209"/>
      <c r="J807" s="209"/>
      <c r="K807" s="209"/>
      <c r="L807" s="209"/>
      <c r="M807" s="209"/>
      <c r="N807" s="209"/>
      <c r="O807" s="209"/>
    </row>
    <row r="808">
      <c r="B808" s="209"/>
      <c r="C808" s="209"/>
      <c r="D808" s="209"/>
      <c r="E808" s="209"/>
      <c r="F808" s="209"/>
      <c r="G808" s="209"/>
      <c r="H808" s="209"/>
      <c r="I808" s="209"/>
      <c r="J808" s="209"/>
      <c r="K808" s="209"/>
      <c r="L808" s="209"/>
      <c r="M808" s="209"/>
      <c r="N808" s="209"/>
      <c r="O808" s="209"/>
    </row>
    <row r="809">
      <c r="B809" s="209"/>
      <c r="C809" s="209"/>
      <c r="D809" s="209"/>
      <c r="E809" s="209"/>
      <c r="F809" s="209"/>
      <c r="G809" s="209"/>
      <c r="H809" s="209"/>
      <c r="I809" s="209"/>
      <c r="J809" s="209"/>
      <c r="K809" s="209"/>
      <c r="L809" s="209"/>
      <c r="M809" s="209"/>
      <c r="N809" s="209"/>
      <c r="O809" s="209"/>
    </row>
    <row r="810">
      <c r="B810" s="209"/>
      <c r="C810" s="209"/>
      <c r="D810" s="209"/>
      <c r="E810" s="209"/>
      <c r="F810" s="209"/>
      <c r="G810" s="209"/>
      <c r="H810" s="209"/>
      <c r="I810" s="209"/>
      <c r="J810" s="209"/>
      <c r="K810" s="209"/>
      <c r="L810" s="209"/>
      <c r="M810" s="209"/>
      <c r="N810" s="209"/>
      <c r="O810" s="209"/>
    </row>
    <row r="811">
      <c r="B811" s="209"/>
      <c r="C811" s="209"/>
      <c r="D811" s="209"/>
      <c r="E811" s="209"/>
      <c r="F811" s="209"/>
      <c r="G811" s="209"/>
      <c r="H811" s="209"/>
      <c r="I811" s="209"/>
      <c r="J811" s="209"/>
      <c r="K811" s="209"/>
      <c r="L811" s="209"/>
      <c r="M811" s="209"/>
      <c r="N811" s="209"/>
      <c r="O811" s="209"/>
    </row>
    <row r="812">
      <c r="B812" s="209"/>
      <c r="C812" s="209"/>
      <c r="D812" s="209"/>
      <c r="E812" s="209"/>
      <c r="F812" s="209"/>
      <c r="G812" s="209"/>
      <c r="H812" s="209"/>
      <c r="I812" s="209"/>
      <c r="J812" s="209"/>
      <c r="K812" s="209"/>
      <c r="L812" s="209"/>
      <c r="M812" s="209"/>
      <c r="N812" s="209"/>
      <c r="O812" s="209"/>
    </row>
    <row r="813">
      <c r="B813" s="209"/>
      <c r="C813" s="209"/>
      <c r="D813" s="209"/>
      <c r="E813" s="209"/>
      <c r="F813" s="209"/>
      <c r="G813" s="209"/>
      <c r="H813" s="209"/>
      <c r="I813" s="209"/>
      <c r="J813" s="209"/>
      <c r="K813" s="209"/>
      <c r="L813" s="209"/>
      <c r="M813" s="209"/>
      <c r="N813" s="209"/>
      <c r="O813" s="209"/>
    </row>
    <row r="814">
      <c r="B814" s="209"/>
      <c r="C814" s="209"/>
      <c r="D814" s="209"/>
      <c r="E814" s="209"/>
      <c r="F814" s="209"/>
      <c r="G814" s="209"/>
      <c r="H814" s="209"/>
      <c r="I814" s="209"/>
      <c r="J814" s="209"/>
      <c r="K814" s="209"/>
      <c r="L814" s="209"/>
      <c r="M814" s="209"/>
      <c r="N814" s="209"/>
      <c r="O814" s="209"/>
    </row>
    <row r="815">
      <c r="B815" s="209"/>
      <c r="C815" s="209"/>
      <c r="D815" s="209"/>
      <c r="E815" s="209"/>
      <c r="F815" s="209"/>
      <c r="G815" s="209"/>
      <c r="H815" s="209"/>
      <c r="I815" s="209"/>
      <c r="J815" s="209"/>
      <c r="K815" s="209"/>
      <c r="L815" s="209"/>
      <c r="M815" s="209"/>
      <c r="N815" s="209"/>
      <c r="O815" s="209"/>
    </row>
    <row r="816">
      <c r="B816" s="209"/>
      <c r="C816" s="209"/>
      <c r="D816" s="209"/>
      <c r="E816" s="209"/>
      <c r="F816" s="209"/>
      <c r="G816" s="209"/>
      <c r="H816" s="209"/>
      <c r="I816" s="209"/>
      <c r="J816" s="209"/>
      <c r="K816" s="209"/>
      <c r="L816" s="209"/>
      <c r="M816" s="209"/>
      <c r="N816" s="209"/>
      <c r="O816" s="209"/>
    </row>
    <row r="817">
      <c r="B817" s="209"/>
      <c r="C817" s="209"/>
      <c r="D817" s="209"/>
      <c r="E817" s="209"/>
      <c r="F817" s="209"/>
      <c r="G817" s="209"/>
      <c r="H817" s="209"/>
      <c r="I817" s="209"/>
      <c r="J817" s="209"/>
      <c r="K817" s="209"/>
      <c r="L817" s="209"/>
      <c r="M817" s="209"/>
      <c r="N817" s="209"/>
      <c r="O817" s="209"/>
    </row>
    <row r="818">
      <c r="B818" s="209"/>
      <c r="C818" s="209"/>
      <c r="D818" s="209"/>
      <c r="E818" s="209"/>
      <c r="F818" s="209"/>
      <c r="G818" s="209"/>
      <c r="H818" s="209"/>
      <c r="I818" s="209"/>
      <c r="J818" s="209"/>
      <c r="K818" s="209"/>
      <c r="L818" s="209"/>
      <c r="M818" s="209"/>
      <c r="N818" s="209"/>
      <c r="O818" s="209"/>
    </row>
    <row r="819">
      <c r="B819" s="209"/>
      <c r="C819" s="209"/>
      <c r="D819" s="209"/>
      <c r="E819" s="209"/>
      <c r="F819" s="209"/>
      <c r="G819" s="209"/>
      <c r="H819" s="209"/>
      <c r="I819" s="209"/>
      <c r="J819" s="209"/>
      <c r="K819" s="209"/>
      <c r="L819" s="209"/>
      <c r="M819" s="209"/>
      <c r="N819" s="209"/>
      <c r="O819" s="209"/>
    </row>
    <row r="820">
      <c r="B820" s="209"/>
      <c r="C820" s="209"/>
      <c r="D820" s="209"/>
      <c r="E820" s="209"/>
      <c r="F820" s="209"/>
      <c r="G820" s="209"/>
      <c r="H820" s="209"/>
      <c r="I820" s="209"/>
      <c r="J820" s="209"/>
      <c r="K820" s="209"/>
      <c r="L820" s="209"/>
      <c r="M820" s="209"/>
      <c r="N820" s="209"/>
      <c r="O820" s="209"/>
    </row>
    <row r="821">
      <c r="B821" s="209"/>
      <c r="C821" s="209"/>
      <c r="D821" s="209"/>
      <c r="E821" s="209"/>
      <c r="F821" s="209"/>
      <c r="G821" s="209"/>
      <c r="H821" s="209"/>
      <c r="I821" s="209"/>
      <c r="J821" s="209"/>
      <c r="K821" s="209"/>
      <c r="L821" s="209"/>
      <c r="M821" s="209"/>
      <c r="N821" s="209"/>
      <c r="O821" s="209"/>
    </row>
    <row r="822">
      <c r="B822" s="209"/>
      <c r="C822" s="209"/>
      <c r="D822" s="209"/>
      <c r="E822" s="209"/>
      <c r="F822" s="209"/>
      <c r="G822" s="209"/>
      <c r="H822" s="209"/>
      <c r="I822" s="209"/>
      <c r="J822" s="209"/>
      <c r="K822" s="209"/>
      <c r="L822" s="209"/>
      <c r="M822" s="209"/>
      <c r="N822" s="209"/>
      <c r="O822" s="209"/>
    </row>
    <row r="823">
      <c r="B823" s="209"/>
      <c r="C823" s="209"/>
      <c r="D823" s="209"/>
      <c r="E823" s="209"/>
      <c r="F823" s="209"/>
      <c r="G823" s="209"/>
      <c r="H823" s="209"/>
      <c r="I823" s="209"/>
      <c r="J823" s="209"/>
      <c r="K823" s="209"/>
      <c r="L823" s="209"/>
      <c r="M823" s="209"/>
      <c r="N823" s="209"/>
      <c r="O823" s="209"/>
    </row>
    <row r="824">
      <c r="B824" s="209"/>
      <c r="C824" s="209"/>
      <c r="D824" s="209"/>
      <c r="E824" s="209"/>
      <c r="F824" s="209"/>
      <c r="G824" s="209"/>
      <c r="H824" s="209"/>
      <c r="I824" s="209"/>
      <c r="J824" s="209"/>
      <c r="K824" s="209"/>
      <c r="L824" s="209"/>
      <c r="M824" s="209"/>
      <c r="N824" s="209"/>
      <c r="O824" s="209"/>
    </row>
    <row r="825">
      <c r="B825" s="209"/>
      <c r="C825" s="209"/>
      <c r="D825" s="209"/>
      <c r="E825" s="209"/>
      <c r="F825" s="209"/>
      <c r="G825" s="209"/>
      <c r="H825" s="209"/>
      <c r="I825" s="209"/>
      <c r="J825" s="209"/>
      <c r="K825" s="209"/>
      <c r="L825" s="209"/>
      <c r="M825" s="209"/>
      <c r="N825" s="209"/>
      <c r="O825" s="209"/>
    </row>
    <row r="826">
      <c r="B826" s="209"/>
      <c r="C826" s="209"/>
      <c r="D826" s="209"/>
      <c r="E826" s="209"/>
      <c r="F826" s="209"/>
      <c r="G826" s="209"/>
      <c r="H826" s="209"/>
      <c r="I826" s="209"/>
      <c r="J826" s="209"/>
      <c r="K826" s="209"/>
      <c r="L826" s="209"/>
      <c r="M826" s="209"/>
      <c r="N826" s="209"/>
      <c r="O826" s="209"/>
    </row>
    <row r="827">
      <c r="B827" s="209"/>
      <c r="C827" s="209"/>
      <c r="D827" s="209"/>
      <c r="E827" s="209"/>
      <c r="F827" s="209"/>
      <c r="G827" s="209"/>
      <c r="H827" s="209"/>
      <c r="I827" s="209"/>
      <c r="J827" s="209"/>
      <c r="K827" s="209"/>
      <c r="L827" s="209"/>
      <c r="M827" s="209"/>
      <c r="N827" s="209"/>
      <c r="O827" s="209"/>
    </row>
    <row r="828">
      <c r="B828" s="209"/>
      <c r="C828" s="209"/>
      <c r="D828" s="209"/>
      <c r="E828" s="209"/>
      <c r="F828" s="209"/>
      <c r="G828" s="209"/>
      <c r="H828" s="209"/>
      <c r="I828" s="209"/>
      <c r="J828" s="209"/>
      <c r="K828" s="209"/>
      <c r="L828" s="209"/>
      <c r="M828" s="209"/>
      <c r="N828" s="209"/>
      <c r="O828" s="209"/>
    </row>
    <row r="829">
      <c r="B829" s="209"/>
      <c r="C829" s="209"/>
      <c r="D829" s="209"/>
      <c r="E829" s="209"/>
      <c r="F829" s="209"/>
      <c r="G829" s="209"/>
      <c r="H829" s="209"/>
      <c r="I829" s="209"/>
      <c r="J829" s="209"/>
      <c r="K829" s="209"/>
      <c r="L829" s="209"/>
      <c r="M829" s="209"/>
      <c r="N829" s="209"/>
      <c r="O829" s="209"/>
    </row>
    <row r="830">
      <c r="B830" s="209"/>
      <c r="C830" s="209"/>
      <c r="D830" s="209"/>
      <c r="E830" s="209"/>
      <c r="F830" s="209"/>
      <c r="G830" s="209"/>
      <c r="H830" s="209"/>
      <c r="I830" s="209"/>
      <c r="J830" s="209"/>
      <c r="K830" s="209"/>
      <c r="L830" s="209"/>
      <c r="M830" s="209"/>
      <c r="N830" s="209"/>
      <c r="O830" s="209"/>
    </row>
    <row r="831">
      <c r="B831" s="209"/>
      <c r="C831" s="209"/>
      <c r="D831" s="209"/>
      <c r="E831" s="209"/>
      <c r="F831" s="209"/>
      <c r="G831" s="209"/>
      <c r="H831" s="209"/>
      <c r="I831" s="209"/>
      <c r="J831" s="209"/>
      <c r="K831" s="209"/>
      <c r="L831" s="209"/>
      <c r="M831" s="209"/>
      <c r="N831" s="209"/>
      <c r="O831" s="209"/>
    </row>
    <row r="832">
      <c r="B832" s="209"/>
      <c r="C832" s="209"/>
      <c r="D832" s="209"/>
      <c r="E832" s="209"/>
      <c r="F832" s="209"/>
      <c r="G832" s="209"/>
      <c r="H832" s="209"/>
      <c r="I832" s="209"/>
      <c r="J832" s="209"/>
      <c r="K832" s="209"/>
      <c r="L832" s="209"/>
      <c r="M832" s="209"/>
      <c r="N832" s="209"/>
      <c r="O832" s="209"/>
    </row>
    <row r="833">
      <c r="B833" s="209"/>
      <c r="C833" s="209"/>
      <c r="D833" s="209"/>
      <c r="E833" s="209"/>
      <c r="F833" s="209"/>
      <c r="G833" s="209"/>
      <c r="H833" s="209"/>
      <c r="I833" s="209"/>
      <c r="J833" s="209"/>
      <c r="K833" s="209"/>
      <c r="L833" s="209"/>
      <c r="M833" s="209"/>
      <c r="N833" s="209"/>
      <c r="O833" s="209"/>
    </row>
    <row r="834">
      <c r="B834" s="209"/>
      <c r="C834" s="209"/>
      <c r="D834" s="209"/>
      <c r="E834" s="209"/>
      <c r="F834" s="209"/>
      <c r="G834" s="209"/>
      <c r="H834" s="209"/>
      <c r="I834" s="209"/>
      <c r="J834" s="209"/>
      <c r="K834" s="209"/>
      <c r="L834" s="209"/>
      <c r="M834" s="209"/>
      <c r="N834" s="209"/>
      <c r="O834" s="209"/>
    </row>
    <row r="835">
      <c r="B835" s="209"/>
      <c r="C835" s="209"/>
      <c r="D835" s="209"/>
      <c r="E835" s="209"/>
      <c r="F835" s="209"/>
      <c r="G835" s="209"/>
      <c r="H835" s="209"/>
      <c r="I835" s="209"/>
      <c r="J835" s="209"/>
      <c r="K835" s="209"/>
      <c r="L835" s="209"/>
      <c r="M835" s="209"/>
      <c r="N835" s="209"/>
      <c r="O835" s="209"/>
    </row>
    <row r="836">
      <c r="B836" s="209"/>
      <c r="C836" s="209"/>
      <c r="D836" s="209"/>
      <c r="E836" s="209"/>
      <c r="F836" s="209"/>
      <c r="G836" s="209"/>
      <c r="H836" s="209"/>
      <c r="I836" s="209"/>
      <c r="J836" s="209"/>
      <c r="K836" s="209"/>
      <c r="L836" s="209"/>
      <c r="M836" s="209"/>
      <c r="N836" s="209"/>
      <c r="O836" s="209"/>
    </row>
    <row r="837">
      <c r="B837" s="209"/>
      <c r="C837" s="209"/>
      <c r="D837" s="209"/>
      <c r="E837" s="209"/>
      <c r="F837" s="209"/>
      <c r="G837" s="209"/>
      <c r="H837" s="209"/>
      <c r="I837" s="209"/>
      <c r="J837" s="209"/>
      <c r="K837" s="209"/>
      <c r="L837" s="209"/>
      <c r="M837" s="209"/>
      <c r="N837" s="209"/>
      <c r="O837" s="209"/>
    </row>
    <row r="838">
      <c r="B838" s="209"/>
      <c r="C838" s="209"/>
      <c r="D838" s="209"/>
      <c r="E838" s="209"/>
      <c r="F838" s="209"/>
      <c r="G838" s="209"/>
      <c r="H838" s="209"/>
      <c r="I838" s="209"/>
      <c r="J838" s="209"/>
      <c r="K838" s="209"/>
      <c r="L838" s="209"/>
      <c r="M838" s="209"/>
      <c r="N838" s="209"/>
      <c r="O838" s="209"/>
    </row>
    <row r="839">
      <c r="B839" s="209"/>
      <c r="C839" s="209"/>
      <c r="D839" s="209"/>
      <c r="E839" s="209"/>
      <c r="F839" s="209"/>
      <c r="G839" s="209"/>
      <c r="H839" s="209"/>
      <c r="I839" s="209"/>
      <c r="J839" s="209"/>
      <c r="K839" s="209"/>
      <c r="L839" s="209"/>
      <c r="M839" s="209"/>
      <c r="N839" s="209"/>
      <c r="O839" s="209"/>
    </row>
    <row r="840">
      <c r="B840" s="209"/>
      <c r="C840" s="209"/>
      <c r="D840" s="209"/>
      <c r="E840" s="209"/>
      <c r="F840" s="209"/>
      <c r="G840" s="209"/>
      <c r="H840" s="209"/>
      <c r="I840" s="209"/>
      <c r="J840" s="209"/>
      <c r="K840" s="209"/>
      <c r="L840" s="209"/>
      <c r="M840" s="209"/>
      <c r="N840" s="209"/>
      <c r="O840" s="209"/>
    </row>
    <row r="841">
      <c r="B841" s="209"/>
      <c r="C841" s="209"/>
      <c r="D841" s="209"/>
      <c r="E841" s="209"/>
      <c r="F841" s="209"/>
      <c r="G841" s="209"/>
      <c r="H841" s="209"/>
      <c r="I841" s="209"/>
      <c r="J841" s="209"/>
      <c r="K841" s="209"/>
      <c r="L841" s="209"/>
      <c r="M841" s="209"/>
      <c r="N841" s="209"/>
      <c r="O841" s="209"/>
    </row>
    <row r="842">
      <c r="B842" s="209"/>
      <c r="C842" s="209"/>
      <c r="D842" s="209"/>
      <c r="E842" s="209"/>
      <c r="F842" s="209"/>
      <c r="G842" s="209"/>
      <c r="H842" s="209"/>
      <c r="I842" s="209"/>
      <c r="J842" s="209"/>
      <c r="K842" s="209"/>
      <c r="L842" s="209"/>
      <c r="M842" s="209"/>
      <c r="N842" s="209"/>
      <c r="O842" s="209"/>
    </row>
    <row r="843">
      <c r="B843" s="209"/>
      <c r="C843" s="209"/>
      <c r="D843" s="209"/>
      <c r="E843" s="209"/>
      <c r="F843" s="209"/>
      <c r="G843" s="209"/>
      <c r="H843" s="209"/>
      <c r="I843" s="209"/>
      <c r="J843" s="209"/>
      <c r="K843" s="209"/>
      <c r="L843" s="209"/>
      <c r="M843" s="209"/>
      <c r="N843" s="209"/>
      <c r="O843" s="209"/>
    </row>
    <row r="844">
      <c r="B844" s="209"/>
      <c r="C844" s="209"/>
      <c r="D844" s="209"/>
      <c r="E844" s="209"/>
      <c r="F844" s="209"/>
      <c r="G844" s="209"/>
      <c r="H844" s="209"/>
      <c r="I844" s="209"/>
      <c r="J844" s="209"/>
      <c r="K844" s="209"/>
      <c r="L844" s="209"/>
      <c r="M844" s="209"/>
      <c r="N844" s="209"/>
      <c r="O844" s="209"/>
    </row>
    <row r="845">
      <c r="B845" s="209"/>
      <c r="C845" s="209"/>
      <c r="D845" s="209"/>
      <c r="E845" s="209"/>
      <c r="F845" s="209"/>
      <c r="G845" s="209"/>
      <c r="H845" s="209"/>
      <c r="I845" s="209"/>
      <c r="J845" s="209"/>
      <c r="K845" s="209"/>
      <c r="L845" s="209"/>
      <c r="M845" s="209"/>
      <c r="N845" s="209"/>
      <c r="O845" s="209"/>
    </row>
    <row r="846">
      <c r="B846" s="209"/>
      <c r="C846" s="209"/>
      <c r="D846" s="209"/>
      <c r="E846" s="209"/>
      <c r="F846" s="209"/>
      <c r="G846" s="209"/>
      <c r="H846" s="209"/>
      <c r="I846" s="209"/>
      <c r="J846" s="209"/>
      <c r="K846" s="209"/>
      <c r="L846" s="209"/>
      <c r="M846" s="209"/>
      <c r="N846" s="209"/>
      <c r="O846" s="209"/>
    </row>
    <row r="847">
      <c r="B847" s="209"/>
      <c r="C847" s="209"/>
      <c r="D847" s="209"/>
      <c r="E847" s="209"/>
      <c r="F847" s="209"/>
      <c r="G847" s="209"/>
      <c r="H847" s="209"/>
      <c r="I847" s="209"/>
      <c r="J847" s="209"/>
      <c r="K847" s="209"/>
      <c r="L847" s="209"/>
      <c r="M847" s="209"/>
      <c r="N847" s="209"/>
      <c r="O847" s="209"/>
    </row>
    <row r="848">
      <c r="B848" s="209"/>
      <c r="C848" s="209"/>
      <c r="D848" s="209"/>
      <c r="E848" s="209"/>
      <c r="F848" s="209"/>
      <c r="G848" s="209"/>
      <c r="H848" s="209"/>
      <c r="I848" s="209"/>
      <c r="J848" s="209"/>
      <c r="K848" s="209"/>
      <c r="L848" s="209"/>
      <c r="M848" s="209"/>
      <c r="N848" s="209"/>
      <c r="O848" s="209"/>
    </row>
    <row r="849">
      <c r="B849" s="209"/>
      <c r="C849" s="209"/>
      <c r="D849" s="209"/>
      <c r="E849" s="209"/>
      <c r="F849" s="209"/>
      <c r="G849" s="209"/>
      <c r="H849" s="209"/>
      <c r="I849" s="209"/>
      <c r="J849" s="209"/>
      <c r="K849" s="209"/>
      <c r="L849" s="209"/>
      <c r="M849" s="209"/>
      <c r="N849" s="209"/>
      <c r="O849" s="209"/>
    </row>
    <row r="850">
      <c r="B850" s="209"/>
      <c r="C850" s="209"/>
      <c r="D850" s="209"/>
      <c r="E850" s="209"/>
      <c r="F850" s="209"/>
      <c r="G850" s="209"/>
      <c r="H850" s="209"/>
      <c r="I850" s="209"/>
      <c r="J850" s="209"/>
      <c r="K850" s="209"/>
      <c r="L850" s="209"/>
      <c r="M850" s="209"/>
      <c r="N850" s="209"/>
      <c r="O850" s="209"/>
    </row>
    <row r="851">
      <c r="B851" s="209"/>
      <c r="C851" s="209"/>
      <c r="D851" s="209"/>
      <c r="E851" s="209"/>
      <c r="F851" s="209"/>
      <c r="G851" s="209"/>
      <c r="H851" s="209"/>
      <c r="I851" s="209"/>
      <c r="J851" s="209"/>
      <c r="K851" s="209"/>
      <c r="L851" s="209"/>
      <c r="M851" s="209"/>
      <c r="N851" s="209"/>
      <c r="O851" s="209"/>
    </row>
    <row r="852">
      <c r="B852" s="209"/>
      <c r="C852" s="209"/>
      <c r="D852" s="209"/>
      <c r="E852" s="209"/>
      <c r="F852" s="209"/>
      <c r="G852" s="209"/>
      <c r="H852" s="209"/>
      <c r="I852" s="209"/>
      <c r="J852" s="209"/>
      <c r="K852" s="209"/>
      <c r="L852" s="209"/>
      <c r="M852" s="209"/>
      <c r="N852" s="209"/>
      <c r="O852" s="209"/>
    </row>
    <row r="853">
      <c r="B853" s="209"/>
      <c r="C853" s="209"/>
      <c r="D853" s="209"/>
      <c r="E853" s="209"/>
      <c r="F853" s="209"/>
      <c r="G853" s="209"/>
      <c r="H853" s="209"/>
      <c r="I853" s="209"/>
      <c r="J853" s="209"/>
      <c r="K853" s="209"/>
      <c r="L853" s="209"/>
      <c r="M853" s="209"/>
      <c r="N853" s="209"/>
      <c r="O853" s="209"/>
    </row>
    <row r="854">
      <c r="B854" s="209"/>
      <c r="C854" s="209"/>
      <c r="D854" s="209"/>
      <c r="E854" s="209"/>
      <c r="F854" s="209"/>
      <c r="G854" s="209"/>
      <c r="H854" s="209"/>
      <c r="I854" s="209"/>
      <c r="J854" s="209"/>
      <c r="K854" s="209"/>
      <c r="L854" s="209"/>
      <c r="M854" s="209"/>
      <c r="N854" s="209"/>
      <c r="O854" s="209"/>
    </row>
    <row r="855">
      <c r="B855" s="209"/>
      <c r="C855" s="209"/>
      <c r="D855" s="209"/>
      <c r="E855" s="209"/>
      <c r="F855" s="209"/>
      <c r="G855" s="209"/>
      <c r="H855" s="209"/>
      <c r="I855" s="209"/>
      <c r="J855" s="209"/>
      <c r="K855" s="209"/>
      <c r="L855" s="209"/>
      <c r="M855" s="209"/>
      <c r="N855" s="209"/>
      <c r="O855" s="209"/>
    </row>
    <row r="856">
      <c r="B856" s="209"/>
      <c r="C856" s="209"/>
      <c r="D856" s="209"/>
      <c r="E856" s="209"/>
      <c r="F856" s="209"/>
      <c r="G856" s="209"/>
      <c r="H856" s="209"/>
      <c r="I856" s="209"/>
      <c r="J856" s="209"/>
      <c r="K856" s="209"/>
      <c r="L856" s="209"/>
      <c r="M856" s="209"/>
      <c r="N856" s="209"/>
      <c r="O856" s="209"/>
    </row>
    <row r="857">
      <c r="B857" s="209"/>
      <c r="C857" s="209"/>
      <c r="D857" s="209"/>
      <c r="E857" s="209"/>
      <c r="F857" s="209"/>
      <c r="G857" s="209"/>
      <c r="H857" s="209"/>
      <c r="I857" s="209"/>
      <c r="J857" s="209"/>
      <c r="K857" s="209"/>
      <c r="L857" s="209"/>
      <c r="M857" s="209"/>
      <c r="N857" s="209"/>
      <c r="O857" s="209"/>
    </row>
    <row r="858">
      <c r="B858" s="209"/>
      <c r="C858" s="209"/>
      <c r="D858" s="209"/>
      <c r="E858" s="209"/>
      <c r="F858" s="209"/>
      <c r="G858" s="209"/>
      <c r="H858" s="209"/>
      <c r="I858" s="209"/>
      <c r="J858" s="209"/>
      <c r="K858" s="209"/>
      <c r="L858" s="209"/>
      <c r="M858" s="209"/>
      <c r="N858" s="209"/>
      <c r="O858" s="209"/>
    </row>
    <row r="859">
      <c r="B859" s="209"/>
      <c r="C859" s="209"/>
      <c r="D859" s="209"/>
      <c r="E859" s="209"/>
      <c r="F859" s="209"/>
      <c r="G859" s="209"/>
      <c r="H859" s="209"/>
      <c r="I859" s="209"/>
      <c r="J859" s="209"/>
      <c r="K859" s="209"/>
      <c r="L859" s="209"/>
      <c r="M859" s="209"/>
      <c r="N859" s="209"/>
      <c r="O859" s="209"/>
    </row>
    <row r="860">
      <c r="B860" s="209"/>
      <c r="C860" s="209"/>
      <c r="D860" s="209"/>
      <c r="E860" s="209"/>
      <c r="F860" s="209"/>
      <c r="G860" s="209"/>
      <c r="H860" s="209"/>
      <c r="I860" s="209"/>
      <c r="J860" s="209"/>
      <c r="K860" s="209"/>
      <c r="L860" s="209"/>
      <c r="M860" s="209"/>
      <c r="N860" s="209"/>
      <c r="O860" s="209"/>
    </row>
    <row r="861">
      <c r="B861" s="209"/>
      <c r="C861" s="209"/>
      <c r="D861" s="209"/>
      <c r="E861" s="209"/>
      <c r="F861" s="209"/>
      <c r="G861" s="209"/>
      <c r="H861" s="209"/>
      <c r="I861" s="209"/>
      <c r="J861" s="209"/>
      <c r="K861" s="209"/>
      <c r="L861" s="209"/>
      <c r="M861" s="209"/>
      <c r="N861" s="209"/>
      <c r="O861" s="209"/>
    </row>
    <row r="862">
      <c r="B862" s="209"/>
      <c r="C862" s="209"/>
      <c r="D862" s="209"/>
      <c r="E862" s="209"/>
      <c r="F862" s="209"/>
      <c r="G862" s="209"/>
      <c r="H862" s="209"/>
      <c r="I862" s="209"/>
      <c r="J862" s="209"/>
      <c r="K862" s="209"/>
      <c r="L862" s="209"/>
      <c r="M862" s="209"/>
      <c r="N862" s="209"/>
      <c r="O862" s="209"/>
    </row>
    <row r="863">
      <c r="B863" s="209"/>
      <c r="C863" s="209"/>
      <c r="D863" s="209"/>
      <c r="E863" s="209"/>
      <c r="F863" s="209"/>
      <c r="G863" s="209"/>
      <c r="H863" s="209"/>
      <c r="I863" s="209"/>
      <c r="J863" s="209"/>
      <c r="K863" s="209"/>
      <c r="L863" s="209"/>
      <c r="M863" s="209"/>
      <c r="N863" s="209"/>
      <c r="O863" s="209"/>
    </row>
    <row r="864">
      <c r="B864" s="209"/>
      <c r="C864" s="209"/>
      <c r="D864" s="209"/>
      <c r="E864" s="209"/>
      <c r="F864" s="209"/>
      <c r="G864" s="209"/>
      <c r="H864" s="209"/>
      <c r="I864" s="209"/>
      <c r="J864" s="209"/>
      <c r="K864" s="209"/>
      <c r="L864" s="209"/>
      <c r="M864" s="209"/>
      <c r="N864" s="209"/>
      <c r="O864" s="209"/>
    </row>
    <row r="865">
      <c r="B865" s="209"/>
      <c r="C865" s="209"/>
      <c r="D865" s="209"/>
      <c r="E865" s="209"/>
      <c r="F865" s="209"/>
      <c r="G865" s="209"/>
      <c r="H865" s="209"/>
      <c r="I865" s="209"/>
      <c r="J865" s="209"/>
      <c r="K865" s="209"/>
      <c r="L865" s="209"/>
      <c r="M865" s="209"/>
      <c r="N865" s="209"/>
      <c r="O865" s="209"/>
    </row>
    <row r="866">
      <c r="B866" s="209"/>
      <c r="C866" s="209"/>
      <c r="D866" s="209"/>
      <c r="E866" s="209"/>
      <c r="F866" s="209"/>
      <c r="G866" s="209"/>
      <c r="H866" s="209"/>
      <c r="I866" s="209"/>
      <c r="J866" s="209"/>
      <c r="K866" s="209"/>
      <c r="L866" s="209"/>
      <c r="M866" s="209"/>
      <c r="N866" s="209"/>
      <c r="O866" s="209"/>
    </row>
    <row r="867">
      <c r="B867" s="209"/>
      <c r="C867" s="209"/>
      <c r="D867" s="209"/>
      <c r="E867" s="209"/>
      <c r="F867" s="209"/>
      <c r="G867" s="209"/>
      <c r="H867" s="209"/>
      <c r="I867" s="209"/>
      <c r="J867" s="209"/>
      <c r="K867" s="209"/>
      <c r="L867" s="209"/>
      <c r="M867" s="209"/>
      <c r="N867" s="209"/>
      <c r="O867" s="209"/>
    </row>
    <row r="868">
      <c r="B868" s="209"/>
      <c r="C868" s="209"/>
      <c r="D868" s="209"/>
      <c r="E868" s="209"/>
      <c r="F868" s="209"/>
      <c r="G868" s="209"/>
      <c r="H868" s="209"/>
      <c r="I868" s="209"/>
      <c r="J868" s="209"/>
      <c r="K868" s="209"/>
      <c r="L868" s="209"/>
      <c r="M868" s="209"/>
      <c r="N868" s="209"/>
      <c r="O868" s="209"/>
    </row>
    <row r="869">
      <c r="B869" s="209"/>
      <c r="C869" s="209"/>
      <c r="D869" s="209"/>
      <c r="E869" s="209"/>
      <c r="F869" s="209"/>
      <c r="G869" s="209"/>
      <c r="H869" s="209"/>
      <c r="I869" s="209"/>
      <c r="J869" s="209"/>
      <c r="K869" s="209"/>
      <c r="L869" s="209"/>
      <c r="M869" s="209"/>
      <c r="N869" s="209"/>
      <c r="O869" s="209"/>
    </row>
    <row r="870">
      <c r="B870" s="209"/>
      <c r="C870" s="209"/>
      <c r="D870" s="209"/>
      <c r="E870" s="209"/>
      <c r="F870" s="209"/>
      <c r="G870" s="209"/>
      <c r="H870" s="209"/>
      <c r="I870" s="209"/>
      <c r="J870" s="209"/>
      <c r="K870" s="209"/>
      <c r="L870" s="209"/>
      <c r="M870" s="209"/>
      <c r="N870" s="209"/>
      <c r="O870" s="209"/>
    </row>
    <row r="871">
      <c r="B871" s="209"/>
      <c r="C871" s="209"/>
      <c r="D871" s="209"/>
      <c r="E871" s="209"/>
      <c r="F871" s="209"/>
      <c r="G871" s="209"/>
      <c r="H871" s="209"/>
      <c r="I871" s="209"/>
      <c r="J871" s="209"/>
      <c r="K871" s="209"/>
      <c r="L871" s="209"/>
      <c r="M871" s="209"/>
      <c r="N871" s="209"/>
      <c r="O871" s="209"/>
    </row>
    <row r="872">
      <c r="B872" s="209"/>
      <c r="C872" s="209"/>
      <c r="D872" s="209"/>
      <c r="E872" s="209"/>
      <c r="F872" s="209"/>
      <c r="G872" s="209"/>
      <c r="H872" s="209"/>
      <c r="I872" s="209"/>
      <c r="J872" s="209"/>
      <c r="K872" s="209"/>
      <c r="L872" s="209"/>
      <c r="M872" s="209"/>
      <c r="N872" s="209"/>
      <c r="O872" s="209"/>
    </row>
    <row r="873">
      <c r="B873" s="209"/>
      <c r="C873" s="209"/>
      <c r="D873" s="209"/>
      <c r="E873" s="209"/>
      <c r="F873" s="209"/>
      <c r="G873" s="209"/>
      <c r="H873" s="209"/>
      <c r="I873" s="209"/>
      <c r="J873" s="209"/>
      <c r="K873" s="209"/>
      <c r="L873" s="209"/>
      <c r="M873" s="209"/>
      <c r="N873" s="209"/>
      <c r="O873" s="209"/>
    </row>
    <row r="874">
      <c r="B874" s="209"/>
      <c r="C874" s="209"/>
      <c r="D874" s="209"/>
      <c r="E874" s="209"/>
      <c r="F874" s="209"/>
      <c r="G874" s="209"/>
      <c r="H874" s="209"/>
      <c r="I874" s="209"/>
      <c r="J874" s="209"/>
      <c r="K874" s="209"/>
      <c r="L874" s="209"/>
      <c r="M874" s="209"/>
      <c r="N874" s="209"/>
      <c r="O874" s="209"/>
    </row>
    <row r="875">
      <c r="B875" s="209"/>
      <c r="C875" s="209"/>
      <c r="D875" s="209"/>
      <c r="E875" s="209"/>
      <c r="F875" s="209"/>
      <c r="G875" s="209"/>
      <c r="H875" s="209"/>
      <c r="I875" s="209"/>
      <c r="J875" s="209"/>
      <c r="K875" s="209"/>
      <c r="L875" s="209"/>
      <c r="M875" s="209"/>
      <c r="N875" s="209"/>
      <c r="O875" s="209"/>
    </row>
    <row r="876">
      <c r="B876" s="209"/>
      <c r="C876" s="209"/>
      <c r="D876" s="209"/>
      <c r="E876" s="209"/>
      <c r="F876" s="209"/>
      <c r="G876" s="209"/>
      <c r="H876" s="209"/>
      <c r="I876" s="209"/>
      <c r="J876" s="209"/>
      <c r="K876" s="209"/>
      <c r="L876" s="209"/>
      <c r="M876" s="209"/>
      <c r="N876" s="209"/>
      <c r="O876" s="209"/>
    </row>
    <row r="877">
      <c r="B877" s="209"/>
      <c r="C877" s="209"/>
      <c r="D877" s="209"/>
      <c r="E877" s="209"/>
      <c r="F877" s="209"/>
      <c r="G877" s="209"/>
      <c r="H877" s="209"/>
      <c r="I877" s="209"/>
      <c r="J877" s="209"/>
      <c r="K877" s="209"/>
      <c r="L877" s="209"/>
      <c r="M877" s="209"/>
      <c r="N877" s="209"/>
      <c r="O877" s="209"/>
    </row>
    <row r="878">
      <c r="B878" s="209"/>
      <c r="C878" s="209"/>
      <c r="D878" s="209"/>
      <c r="E878" s="209"/>
      <c r="F878" s="209"/>
      <c r="G878" s="209"/>
      <c r="H878" s="209"/>
      <c r="I878" s="209"/>
      <c r="J878" s="209"/>
      <c r="K878" s="209"/>
      <c r="L878" s="209"/>
      <c r="M878" s="209"/>
      <c r="N878" s="209"/>
      <c r="O878" s="209"/>
    </row>
    <row r="879">
      <c r="B879" s="209"/>
      <c r="C879" s="209"/>
      <c r="D879" s="209"/>
      <c r="E879" s="209"/>
      <c r="F879" s="209"/>
      <c r="G879" s="209"/>
      <c r="H879" s="209"/>
      <c r="I879" s="209"/>
      <c r="J879" s="209"/>
      <c r="K879" s="209"/>
      <c r="L879" s="209"/>
      <c r="M879" s="209"/>
      <c r="N879" s="209"/>
      <c r="O879" s="209"/>
    </row>
    <row r="880">
      <c r="B880" s="209"/>
      <c r="C880" s="209"/>
      <c r="D880" s="209"/>
      <c r="E880" s="209"/>
      <c r="F880" s="209"/>
      <c r="G880" s="209"/>
      <c r="H880" s="209"/>
      <c r="I880" s="209"/>
      <c r="J880" s="209"/>
      <c r="K880" s="209"/>
      <c r="L880" s="209"/>
      <c r="M880" s="209"/>
      <c r="N880" s="209"/>
      <c r="O880" s="209"/>
    </row>
    <row r="881">
      <c r="B881" s="209"/>
      <c r="C881" s="209"/>
      <c r="D881" s="209"/>
      <c r="E881" s="209"/>
      <c r="F881" s="209"/>
      <c r="G881" s="209"/>
      <c r="H881" s="209"/>
      <c r="I881" s="209"/>
      <c r="J881" s="209"/>
      <c r="K881" s="209"/>
      <c r="L881" s="209"/>
      <c r="M881" s="209"/>
      <c r="N881" s="209"/>
      <c r="O881" s="209"/>
    </row>
    <row r="882">
      <c r="B882" s="209"/>
      <c r="C882" s="209"/>
      <c r="D882" s="209"/>
      <c r="E882" s="209"/>
      <c r="F882" s="209"/>
      <c r="G882" s="209"/>
      <c r="H882" s="209"/>
      <c r="I882" s="209"/>
      <c r="J882" s="209"/>
      <c r="K882" s="209"/>
      <c r="L882" s="209"/>
      <c r="M882" s="209"/>
      <c r="N882" s="209"/>
      <c r="O882" s="209"/>
    </row>
    <row r="883">
      <c r="B883" s="209"/>
      <c r="C883" s="209"/>
      <c r="D883" s="209"/>
      <c r="E883" s="209"/>
      <c r="F883" s="209"/>
      <c r="G883" s="209"/>
      <c r="H883" s="209"/>
      <c r="I883" s="209"/>
      <c r="J883" s="209"/>
      <c r="K883" s="209"/>
      <c r="L883" s="209"/>
      <c r="M883" s="209"/>
      <c r="N883" s="209"/>
      <c r="O883" s="209"/>
    </row>
    <row r="884">
      <c r="B884" s="209"/>
      <c r="C884" s="209"/>
      <c r="D884" s="209"/>
      <c r="E884" s="209"/>
      <c r="F884" s="209"/>
      <c r="G884" s="209"/>
      <c r="H884" s="209"/>
      <c r="I884" s="209"/>
      <c r="J884" s="209"/>
      <c r="K884" s="209"/>
      <c r="L884" s="209"/>
      <c r="M884" s="209"/>
      <c r="N884" s="209"/>
      <c r="O884" s="209"/>
    </row>
    <row r="885">
      <c r="B885" s="209"/>
      <c r="C885" s="209"/>
      <c r="D885" s="209"/>
      <c r="E885" s="209"/>
      <c r="F885" s="209"/>
      <c r="G885" s="209"/>
      <c r="H885" s="209"/>
      <c r="I885" s="209"/>
      <c r="J885" s="209"/>
      <c r="K885" s="209"/>
      <c r="L885" s="209"/>
      <c r="M885" s="209"/>
      <c r="N885" s="209"/>
      <c r="O885" s="209"/>
    </row>
    <row r="886">
      <c r="B886" s="209"/>
      <c r="C886" s="209"/>
      <c r="D886" s="209"/>
      <c r="E886" s="209"/>
      <c r="F886" s="209"/>
      <c r="G886" s="209"/>
      <c r="H886" s="209"/>
      <c r="I886" s="209"/>
      <c r="J886" s="209"/>
      <c r="K886" s="209"/>
      <c r="L886" s="209"/>
      <c r="M886" s="209"/>
      <c r="N886" s="209"/>
      <c r="O886" s="209"/>
    </row>
    <row r="887">
      <c r="B887" s="209"/>
      <c r="C887" s="209"/>
      <c r="D887" s="209"/>
      <c r="E887" s="209"/>
      <c r="F887" s="209"/>
      <c r="G887" s="209"/>
      <c r="H887" s="209"/>
      <c r="I887" s="209"/>
      <c r="J887" s="209"/>
      <c r="K887" s="209"/>
      <c r="L887" s="209"/>
      <c r="M887" s="209"/>
      <c r="N887" s="209"/>
      <c r="O887" s="209"/>
    </row>
    <row r="888">
      <c r="B888" s="209"/>
      <c r="C888" s="209"/>
      <c r="D888" s="209"/>
      <c r="E888" s="209"/>
      <c r="F888" s="209"/>
      <c r="G888" s="209"/>
      <c r="H888" s="209"/>
      <c r="I888" s="209"/>
      <c r="J888" s="209"/>
      <c r="K888" s="209"/>
      <c r="L888" s="209"/>
      <c r="M888" s="209"/>
      <c r="N888" s="209"/>
      <c r="O888" s="209"/>
    </row>
    <row r="889">
      <c r="B889" s="209"/>
      <c r="C889" s="209"/>
      <c r="D889" s="209"/>
      <c r="E889" s="209"/>
      <c r="F889" s="209"/>
      <c r="G889" s="209"/>
      <c r="H889" s="209"/>
      <c r="I889" s="209"/>
      <c r="J889" s="209"/>
      <c r="K889" s="209"/>
      <c r="L889" s="209"/>
      <c r="M889" s="209"/>
      <c r="N889" s="209"/>
      <c r="O889" s="209"/>
    </row>
    <row r="890">
      <c r="B890" s="209"/>
      <c r="C890" s="209"/>
      <c r="D890" s="209"/>
      <c r="E890" s="209"/>
      <c r="F890" s="209"/>
      <c r="G890" s="209"/>
      <c r="H890" s="209"/>
      <c r="I890" s="209"/>
      <c r="J890" s="209"/>
      <c r="K890" s="209"/>
      <c r="L890" s="209"/>
      <c r="M890" s="209"/>
      <c r="N890" s="209"/>
      <c r="O890" s="209"/>
    </row>
    <row r="891">
      <c r="B891" s="209"/>
      <c r="C891" s="209"/>
      <c r="D891" s="209"/>
      <c r="E891" s="209"/>
      <c r="F891" s="209"/>
      <c r="G891" s="209"/>
      <c r="H891" s="209"/>
      <c r="I891" s="209"/>
      <c r="J891" s="209"/>
      <c r="K891" s="209"/>
      <c r="L891" s="209"/>
      <c r="M891" s="209"/>
      <c r="N891" s="209"/>
      <c r="O891" s="209"/>
    </row>
    <row r="892">
      <c r="B892" s="209"/>
      <c r="C892" s="209"/>
      <c r="D892" s="209"/>
      <c r="E892" s="209"/>
      <c r="F892" s="209"/>
      <c r="G892" s="209"/>
      <c r="H892" s="209"/>
      <c r="I892" s="209"/>
      <c r="J892" s="209"/>
      <c r="K892" s="209"/>
      <c r="L892" s="209"/>
      <c r="M892" s="209"/>
      <c r="N892" s="209"/>
      <c r="O892" s="209"/>
    </row>
    <row r="893">
      <c r="B893" s="209"/>
      <c r="C893" s="209"/>
      <c r="D893" s="209"/>
      <c r="E893" s="209"/>
      <c r="F893" s="209"/>
      <c r="G893" s="209"/>
      <c r="H893" s="209"/>
      <c r="I893" s="209"/>
      <c r="J893" s="209"/>
      <c r="K893" s="209"/>
      <c r="L893" s="209"/>
      <c r="M893" s="209"/>
      <c r="N893" s="209"/>
      <c r="O893" s="209"/>
    </row>
    <row r="894">
      <c r="B894" s="209"/>
      <c r="C894" s="209"/>
      <c r="D894" s="209"/>
      <c r="E894" s="209"/>
      <c r="F894" s="209"/>
      <c r="G894" s="209"/>
      <c r="H894" s="209"/>
      <c r="I894" s="209"/>
      <c r="J894" s="209"/>
      <c r="K894" s="209"/>
      <c r="L894" s="209"/>
      <c r="M894" s="209"/>
      <c r="N894" s="209"/>
      <c r="O894" s="209"/>
    </row>
    <row r="895">
      <c r="B895" s="209"/>
      <c r="C895" s="209"/>
      <c r="D895" s="209"/>
      <c r="E895" s="209"/>
      <c r="F895" s="209"/>
      <c r="G895" s="209"/>
      <c r="H895" s="209"/>
      <c r="I895" s="209"/>
      <c r="J895" s="209"/>
      <c r="K895" s="209"/>
      <c r="L895" s="209"/>
      <c r="M895" s="209"/>
      <c r="N895" s="209"/>
      <c r="O895" s="209"/>
    </row>
    <row r="896">
      <c r="B896" s="209"/>
      <c r="C896" s="209"/>
      <c r="D896" s="209"/>
      <c r="E896" s="209"/>
      <c r="F896" s="209"/>
      <c r="G896" s="209"/>
      <c r="H896" s="209"/>
      <c r="I896" s="209"/>
      <c r="J896" s="209"/>
      <c r="K896" s="209"/>
      <c r="L896" s="209"/>
      <c r="M896" s="209"/>
      <c r="N896" s="209"/>
      <c r="O896" s="209"/>
    </row>
    <row r="897">
      <c r="B897" s="209"/>
      <c r="C897" s="209"/>
      <c r="D897" s="209"/>
      <c r="E897" s="209"/>
      <c r="F897" s="209"/>
      <c r="G897" s="209"/>
      <c r="H897" s="209"/>
      <c r="I897" s="209"/>
      <c r="J897" s="209"/>
      <c r="K897" s="209"/>
      <c r="L897" s="209"/>
      <c r="M897" s="209"/>
      <c r="N897" s="209"/>
      <c r="O897" s="209"/>
    </row>
    <row r="898">
      <c r="B898" s="209"/>
      <c r="C898" s="209"/>
      <c r="D898" s="209"/>
      <c r="E898" s="209"/>
      <c r="F898" s="209"/>
      <c r="G898" s="209"/>
      <c r="H898" s="209"/>
      <c r="I898" s="209"/>
      <c r="J898" s="209"/>
      <c r="K898" s="209"/>
      <c r="L898" s="209"/>
      <c r="M898" s="209"/>
      <c r="N898" s="209"/>
      <c r="O898" s="209"/>
    </row>
    <row r="899">
      <c r="B899" s="209"/>
      <c r="C899" s="209"/>
      <c r="D899" s="209"/>
      <c r="E899" s="209"/>
      <c r="F899" s="209"/>
      <c r="G899" s="209"/>
      <c r="H899" s="209"/>
      <c r="I899" s="209"/>
      <c r="J899" s="209"/>
      <c r="K899" s="209"/>
      <c r="L899" s="209"/>
      <c r="M899" s="209"/>
      <c r="N899" s="209"/>
      <c r="O899" s="209"/>
    </row>
    <row r="900">
      <c r="B900" s="209"/>
      <c r="C900" s="209"/>
      <c r="D900" s="209"/>
      <c r="E900" s="209"/>
      <c r="F900" s="209"/>
      <c r="G900" s="209"/>
      <c r="H900" s="209"/>
      <c r="I900" s="209"/>
      <c r="J900" s="209"/>
      <c r="K900" s="209"/>
      <c r="L900" s="209"/>
      <c r="M900" s="209"/>
      <c r="N900" s="209"/>
      <c r="O900" s="209"/>
    </row>
    <row r="901">
      <c r="B901" s="209"/>
      <c r="C901" s="209"/>
      <c r="D901" s="209"/>
      <c r="E901" s="209"/>
      <c r="F901" s="209"/>
      <c r="G901" s="209"/>
      <c r="H901" s="209"/>
      <c r="I901" s="209"/>
      <c r="J901" s="209"/>
      <c r="K901" s="209"/>
      <c r="L901" s="209"/>
      <c r="M901" s="209"/>
      <c r="N901" s="209"/>
      <c r="O901" s="209"/>
    </row>
    <row r="902">
      <c r="B902" s="209"/>
      <c r="C902" s="209"/>
      <c r="D902" s="209"/>
      <c r="E902" s="209"/>
      <c r="F902" s="209"/>
      <c r="G902" s="209"/>
      <c r="H902" s="209"/>
      <c r="I902" s="209"/>
      <c r="J902" s="209"/>
      <c r="K902" s="209"/>
      <c r="L902" s="209"/>
      <c r="M902" s="209"/>
      <c r="N902" s="209"/>
      <c r="O902" s="209"/>
    </row>
    <row r="903">
      <c r="B903" s="209"/>
      <c r="C903" s="209"/>
      <c r="D903" s="209"/>
      <c r="E903" s="209"/>
      <c r="F903" s="209"/>
      <c r="G903" s="209"/>
      <c r="H903" s="209"/>
      <c r="I903" s="209"/>
      <c r="J903" s="209"/>
      <c r="K903" s="209"/>
      <c r="L903" s="209"/>
      <c r="M903" s="209"/>
      <c r="N903" s="209"/>
      <c r="O903" s="209"/>
    </row>
    <row r="904">
      <c r="B904" s="209"/>
      <c r="C904" s="209"/>
      <c r="D904" s="209"/>
      <c r="E904" s="209"/>
      <c r="F904" s="209"/>
      <c r="G904" s="209"/>
      <c r="H904" s="209"/>
      <c r="I904" s="209"/>
      <c r="J904" s="209"/>
      <c r="K904" s="209"/>
      <c r="L904" s="209"/>
      <c r="M904" s="209"/>
      <c r="N904" s="209"/>
      <c r="O904" s="209"/>
    </row>
    <row r="905">
      <c r="B905" s="209"/>
      <c r="C905" s="209"/>
      <c r="D905" s="209"/>
      <c r="E905" s="209"/>
      <c r="F905" s="209"/>
      <c r="G905" s="209"/>
      <c r="H905" s="209"/>
      <c r="I905" s="209"/>
      <c r="J905" s="209"/>
      <c r="K905" s="209"/>
      <c r="L905" s="209"/>
      <c r="M905" s="209"/>
      <c r="N905" s="209"/>
      <c r="O905" s="209"/>
    </row>
    <row r="906">
      <c r="B906" s="209"/>
      <c r="C906" s="209"/>
      <c r="D906" s="209"/>
      <c r="E906" s="209"/>
      <c r="F906" s="209"/>
      <c r="G906" s="209"/>
      <c r="H906" s="209"/>
      <c r="I906" s="209"/>
      <c r="J906" s="209"/>
      <c r="K906" s="209"/>
      <c r="L906" s="209"/>
      <c r="M906" s="209"/>
      <c r="N906" s="209"/>
      <c r="O906" s="209"/>
    </row>
    <row r="907">
      <c r="B907" s="209"/>
      <c r="C907" s="209"/>
      <c r="D907" s="209"/>
      <c r="E907" s="209"/>
      <c r="F907" s="209"/>
      <c r="G907" s="209"/>
      <c r="H907" s="209"/>
      <c r="I907" s="209"/>
      <c r="J907" s="209"/>
      <c r="K907" s="209"/>
      <c r="L907" s="209"/>
      <c r="M907" s="209"/>
      <c r="N907" s="209"/>
      <c r="O907" s="209"/>
    </row>
    <row r="908">
      <c r="B908" s="209"/>
      <c r="C908" s="209"/>
      <c r="D908" s="209"/>
      <c r="E908" s="209"/>
      <c r="F908" s="209"/>
      <c r="G908" s="209"/>
      <c r="H908" s="209"/>
      <c r="I908" s="209"/>
      <c r="J908" s="209"/>
      <c r="K908" s="209"/>
      <c r="L908" s="209"/>
      <c r="M908" s="209"/>
      <c r="N908" s="209"/>
      <c r="O908" s="209"/>
    </row>
    <row r="909">
      <c r="B909" s="209"/>
      <c r="C909" s="209"/>
      <c r="D909" s="209"/>
      <c r="E909" s="209"/>
      <c r="F909" s="209"/>
      <c r="G909" s="209"/>
      <c r="H909" s="209"/>
      <c r="I909" s="209"/>
      <c r="J909" s="209"/>
      <c r="K909" s="209"/>
      <c r="L909" s="209"/>
      <c r="M909" s="209"/>
      <c r="N909" s="209"/>
      <c r="O909" s="209"/>
    </row>
    <row r="910">
      <c r="B910" s="209"/>
      <c r="C910" s="209"/>
      <c r="D910" s="209"/>
      <c r="E910" s="209"/>
      <c r="F910" s="209"/>
      <c r="G910" s="209"/>
      <c r="H910" s="209"/>
      <c r="I910" s="209"/>
      <c r="J910" s="209"/>
      <c r="K910" s="209"/>
      <c r="L910" s="209"/>
      <c r="M910" s="209"/>
      <c r="N910" s="209"/>
      <c r="O910" s="209"/>
    </row>
    <row r="911">
      <c r="B911" s="209"/>
      <c r="C911" s="209"/>
      <c r="D911" s="209"/>
      <c r="E911" s="209"/>
      <c r="F911" s="209"/>
      <c r="G911" s="209"/>
      <c r="H911" s="209"/>
      <c r="I911" s="209"/>
      <c r="J911" s="209"/>
      <c r="K911" s="209"/>
      <c r="L911" s="209"/>
      <c r="M911" s="209"/>
      <c r="N911" s="209"/>
      <c r="O911" s="209"/>
    </row>
    <row r="912">
      <c r="B912" s="209"/>
      <c r="C912" s="209"/>
      <c r="D912" s="209"/>
      <c r="E912" s="209"/>
      <c r="F912" s="209"/>
      <c r="G912" s="209"/>
      <c r="H912" s="209"/>
      <c r="I912" s="209"/>
      <c r="J912" s="209"/>
      <c r="K912" s="209"/>
      <c r="L912" s="209"/>
      <c r="M912" s="209"/>
      <c r="N912" s="209"/>
      <c r="O912" s="209"/>
    </row>
    <row r="913">
      <c r="B913" s="209"/>
      <c r="C913" s="209"/>
      <c r="D913" s="209"/>
      <c r="E913" s="209"/>
      <c r="F913" s="209"/>
      <c r="G913" s="209"/>
      <c r="H913" s="209"/>
      <c r="I913" s="209"/>
      <c r="J913" s="209"/>
      <c r="K913" s="209"/>
      <c r="L913" s="209"/>
      <c r="M913" s="209"/>
      <c r="N913" s="209"/>
      <c r="O913" s="209"/>
    </row>
    <row r="914">
      <c r="B914" s="209"/>
      <c r="C914" s="209"/>
      <c r="D914" s="209"/>
      <c r="E914" s="209"/>
      <c r="F914" s="209"/>
      <c r="G914" s="209"/>
      <c r="H914" s="209"/>
      <c r="I914" s="209"/>
      <c r="J914" s="209"/>
      <c r="K914" s="209"/>
      <c r="L914" s="209"/>
      <c r="M914" s="209"/>
      <c r="N914" s="209"/>
      <c r="O914" s="209"/>
    </row>
    <row r="915">
      <c r="B915" s="209"/>
      <c r="C915" s="209"/>
      <c r="D915" s="209"/>
      <c r="E915" s="209"/>
      <c r="F915" s="209"/>
      <c r="G915" s="209"/>
      <c r="H915" s="209"/>
      <c r="I915" s="209"/>
      <c r="J915" s="209"/>
      <c r="K915" s="209"/>
      <c r="L915" s="209"/>
      <c r="M915" s="209"/>
      <c r="N915" s="209"/>
      <c r="O915" s="209"/>
    </row>
    <row r="916">
      <c r="B916" s="209"/>
      <c r="C916" s="209"/>
      <c r="D916" s="209"/>
      <c r="E916" s="209"/>
      <c r="F916" s="209"/>
      <c r="G916" s="209"/>
      <c r="H916" s="209"/>
      <c r="I916" s="209"/>
      <c r="J916" s="209"/>
      <c r="K916" s="209"/>
      <c r="L916" s="209"/>
      <c r="M916" s="209"/>
      <c r="N916" s="209"/>
      <c r="O916" s="209"/>
    </row>
    <row r="917">
      <c r="B917" s="209"/>
      <c r="C917" s="209"/>
      <c r="D917" s="209"/>
      <c r="E917" s="209"/>
      <c r="F917" s="209"/>
      <c r="G917" s="209"/>
      <c r="H917" s="209"/>
      <c r="I917" s="209"/>
      <c r="J917" s="209"/>
      <c r="K917" s="209"/>
      <c r="L917" s="209"/>
      <c r="M917" s="209"/>
      <c r="N917" s="209"/>
      <c r="O917" s="209"/>
    </row>
    <row r="918">
      <c r="B918" s="209"/>
      <c r="C918" s="209"/>
      <c r="D918" s="209"/>
      <c r="E918" s="209"/>
      <c r="F918" s="209"/>
      <c r="G918" s="209"/>
      <c r="H918" s="209"/>
      <c r="I918" s="209"/>
      <c r="J918" s="209"/>
      <c r="K918" s="209"/>
      <c r="L918" s="209"/>
      <c r="M918" s="209"/>
      <c r="N918" s="209"/>
      <c r="O918" s="209"/>
    </row>
    <row r="919">
      <c r="B919" s="209"/>
      <c r="C919" s="209"/>
      <c r="D919" s="209"/>
      <c r="E919" s="209"/>
      <c r="F919" s="209"/>
      <c r="G919" s="209"/>
      <c r="H919" s="209"/>
      <c r="I919" s="209"/>
      <c r="J919" s="209"/>
      <c r="K919" s="209"/>
      <c r="L919" s="209"/>
      <c r="M919" s="209"/>
      <c r="N919" s="209"/>
      <c r="O919" s="209"/>
    </row>
    <row r="920">
      <c r="B920" s="209"/>
      <c r="C920" s="209"/>
      <c r="D920" s="209"/>
      <c r="E920" s="209"/>
      <c r="F920" s="209"/>
      <c r="G920" s="209"/>
      <c r="H920" s="209"/>
      <c r="I920" s="209"/>
      <c r="J920" s="209"/>
      <c r="K920" s="209"/>
      <c r="L920" s="209"/>
      <c r="M920" s="209"/>
      <c r="N920" s="209"/>
      <c r="O920" s="209"/>
    </row>
    <row r="921">
      <c r="B921" s="209"/>
      <c r="C921" s="209"/>
      <c r="D921" s="209"/>
      <c r="E921" s="209"/>
      <c r="F921" s="209"/>
      <c r="G921" s="209"/>
      <c r="H921" s="209"/>
      <c r="I921" s="209"/>
      <c r="J921" s="209"/>
      <c r="K921" s="209"/>
      <c r="L921" s="209"/>
      <c r="M921" s="209"/>
      <c r="N921" s="209"/>
      <c r="O921" s="209"/>
    </row>
    <row r="922">
      <c r="B922" s="209"/>
      <c r="C922" s="209"/>
      <c r="D922" s="209"/>
      <c r="E922" s="209"/>
      <c r="F922" s="209"/>
      <c r="G922" s="209"/>
      <c r="H922" s="209"/>
      <c r="I922" s="209"/>
      <c r="J922" s="209"/>
      <c r="K922" s="209"/>
      <c r="L922" s="209"/>
      <c r="M922" s="209"/>
      <c r="N922" s="209"/>
      <c r="O922" s="209"/>
    </row>
    <row r="923">
      <c r="B923" s="209"/>
      <c r="C923" s="209"/>
      <c r="D923" s="209"/>
      <c r="E923" s="209"/>
      <c r="F923" s="209"/>
      <c r="G923" s="209"/>
      <c r="H923" s="209"/>
      <c r="I923" s="209"/>
      <c r="J923" s="209"/>
      <c r="K923" s="209"/>
      <c r="L923" s="209"/>
      <c r="M923" s="209"/>
      <c r="N923" s="209"/>
      <c r="O923" s="209"/>
    </row>
    <row r="924">
      <c r="B924" s="209"/>
      <c r="C924" s="209"/>
      <c r="D924" s="209"/>
      <c r="E924" s="209"/>
      <c r="F924" s="209"/>
      <c r="G924" s="209"/>
      <c r="H924" s="209"/>
      <c r="I924" s="209"/>
      <c r="J924" s="209"/>
      <c r="K924" s="209"/>
      <c r="L924" s="209"/>
      <c r="M924" s="209"/>
      <c r="N924" s="209"/>
      <c r="O924" s="209"/>
    </row>
    <row r="925">
      <c r="B925" s="209"/>
      <c r="C925" s="209"/>
      <c r="D925" s="209"/>
      <c r="E925" s="209"/>
      <c r="F925" s="209"/>
      <c r="G925" s="209"/>
      <c r="H925" s="209"/>
      <c r="I925" s="209"/>
      <c r="J925" s="209"/>
      <c r="K925" s="209"/>
      <c r="L925" s="209"/>
      <c r="M925" s="209"/>
      <c r="N925" s="209"/>
      <c r="O925" s="209"/>
    </row>
    <row r="926">
      <c r="B926" s="209"/>
      <c r="C926" s="209"/>
      <c r="D926" s="209"/>
      <c r="E926" s="209"/>
      <c r="F926" s="209"/>
      <c r="G926" s="209"/>
      <c r="H926" s="209"/>
      <c r="I926" s="209"/>
      <c r="J926" s="209"/>
      <c r="K926" s="209"/>
      <c r="L926" s="209"/>
      <c r="M926" s="209"/>
      <c r="N926" s="209"/>
      <c r="O926" s="209"/>
    </row>
    <row r="927">
      <c r="B927" s="209"/>
      <c r="C927" s="209"/>
      <c r="D927" s="209"/>
      <c r="E927" s="209"/>
      <c r="F927" s="209"/>
      <c r="G927" s="209"/>
      <c r="H927" s="209"/>
      <c r="I927" s="209"/>
      <c r="J927" s="209"/>
      <c r="K927" s="209"/>
      <c r="L927" s="209"/>
      <c r="M927" s="209"/>
      <c r="N927" s="209"/>
      <c r="O927" s="209"/>
    </row>
    <row r="928">
      <c r="B928" s="209"/>
      <c r="C928" s="209"/>
      <c r="D928" s="209"/>
      <c r="E928" s="209"/>
      <c r="F928" s="209"/>
      <c r="G928" s="209"/>
      <c r="H928" s="209"/>
      <c r="I928" s="209"/>
      <c r="J928" s="209"/>
      <c r="K928" s="209"/>
      <c r="L928" s="209"/>
      <c r="M928" s="209"/>
      <c r="N928" s="209"/>
      <c r="O928" s="209"/>
    </row>
    <row r="929">
      <c r="B929" s="209"/>
      <c r="C929" s="209"/>
      <c r="D929" s="209"/>
      <c r="E929" s="209"/>
      <c r="F929" s="209"/>
      <c r="G929" s="209"/>
      <c r="H929" s="209"/>
      <c r="I929" s="209"/>
      <c r="J929" s="209"/>
      <c r="K929" s="209"/>
      <c r="L929" s="209"/>
      <c r="M929" s="209"/>
      <c r="N929" s="209"/>
      <c r="O929" s="209"/>
    </row>
    <row r="930">
      <c r="B930" s="209"/>
      <c r="C930" s="209"/>
      <c r="D930" s="209"/>
      <c r="E930" s="209"/>
      <c r="F930" s="209"/>
      <c r="G930" s="209"/>
      <c r="H930" s="209"/>
      <c r="I930" s="209"/>
      <c r="J930" s="209"/>
      <c r="K930" s="209"/>
      <c r="L930" s="209"/>
      <c r="M930" s="209"/>
      <c r="N930" s="209"/>
      <c r="O930" s="209"/>
    </row>
    <row r="931">
      <c r="B931" s="209"/>
      <c r="C931" s="209"/>
      <c r="D931" s="209"/>
      <c r="E931" s="209"/>
      <c r="F931" s="209"/>
      <c r="G931" s="209"/>
      <c r="H931" s="209"/>
      <c r="I931" s="209"/>
      <c r="J931" s="209"/>
      <c r="K931" s="209"/>
      <c r="L931" s="209"/>
      <c r="M931" s="209"/>
      <c r="N931" s="209"/>
      <c r="O931" s="209"/>
    </row>
    <row r="932">
      <c r="B932" s="209"/>
      <c r="C932" s="209"/>
      <c r="D932" s="209"/>
      <c r="E932" s="209"/>
      <c r="F932" s="209"/>
      <c r="G932" s="209"/>
      <c r="H932" s="209"/>
      <c r="I932" s="209"/>
      <c r="J932" s="209"/>
      <c r="K932" s="209"/>
      <c r="L932" s="209"/>
      <c r="M932" s="209"/>
      <c r="N932" s="209"/>
      <c r="O932" s="209"/>
    </row>
    <row r="933">
      <c r="B933" s="209"/>
      <c r="C933" s="209"/>
      <c r="D933" s="209"/>
      <c r="E933" s="209"/>
      <c r="F933" s="209"/>
      <c r="G933" s="209"/>
      <c r="H933" s="209"/>
      <c r="I933" s="209"/>
      <c r="J933" s="209"/>
      <c r="K933" s="209"/>
      <c r="L933" s="209"/>
      <c r="M933" s="209"/>
      <c r="N933" s="209"/>
      <c r="O933" s="209"/>
    </row>
    <row r="934">
      <c r="B934" s="209"/>
      <c r="C934" s="209"/>
      <c r="D934" s="209"/>
      <c r="E934" s="209"/>
      <c r="F934" s="209"/>
      <c r="G934" s="209"/>
      <c r="H934" s="209"/>
      <c r="I934" s="209"/>
      <c r="J934" s="209"/>
      <c r="K934" s="209"/>
      <c r="L934" s="209"/>
      <c r="M934" s="209"/>
      <c r="N934" s="209"/>
      <c r="O934" s="209"/>
    </row>
    <row r="935">
      <c r="B935" s="209"/>
      <c r="C935" s="209"/>
      <c r="D935" s="209"/>
      <c r="E935" s="209"/>
      <c r="F935" s="209"/>
      <c r="G935" s="209"/>
      <c r="H935" s="209"/>
      <c r="I935" s="209"/>
      <c r="J935" s="209"/>
      <c r="K935" s="209"/>
      <c r="L935" s="209"/>
      <c r="M935" s="209"/>
      <c r="N935" s="209"/>
      <c r="O935" s="209"/>
    </row>
    <row r="936">
      <c r="B936" s="209"/>
      <c r="C936" s="209"/>
      <c r="D936" s="209"/>
      <c r="E936" s="209"/>
      <c r="F936" s="209"/>
      <c r="G936" s="209"/>
      <c r="H936" s="209"/>
      <c r="I936" s="209"/>
      <c r="J936" s="209"/>
      <c r="K936" s="209"/>
      <c r="L936" s="209"/>
      <c r="M936" s="209"/>
      <c r="N936" s="209"/>
      <c r="O936" s="209"/>
    </row>
    <row r="937">
      <c r="B937" s="209"/>
      <c r="C937" s="209"/>
      <c r="D937" s="209"/>
      <c r="E937" s="209"/>
      <c r="F937" s="209"/>
      <c r="G937" s="209"/>
      <c r="H937" s="209"/>
      <c r="I937" s="209"/>
      <c r="J937" s="209"/>
      <c r="K937" s="209"/>
      <c r="L937" s="209"/>
      <c r="M937" s="209"/>
      <c r="N937" s="209"/>
      <c r="O937" s="209"/>
    </row>
    <row r="938">
      <c r="B938" s="209"/>
      <c r="C938" s="209"/>
      <c r="D938" s="209"/>
      <c r="E938" s="209"/>
      <c r="F938" s="209"/>
      <c r="G938" s="209"/>
      <c r="H938" s="209"/>
      <c r="I938" s="209"/>
      <c r="J938" s="209"/>
      <c r="K938" s="209"/>
      <c r="L938" s="209"/>
      <c r="M938" s="209"/>
      <c r="N938" s="209"/>
      <c r="O938" s="209"/>
    </row>
    <row r="939">
      <c r="B939" s="209"/>
      <c r="C939" s="209"/>
      <c r="D939" s="209"/>
      <c r="E939" s="209"/>
      <c r="F939" s="209"/>
      <c r="G939" s="209"/>
      <c r="H939" s="209"/>
      <c r="I939" s="209"/>
      <c r="J939" s="209"/>
      <c r="K939" s="209"/>
      <c r="L939" s="209"/>
      <c r="M939" s="209"/>
      <c r="N939" s="209"/>
      <c r="O939" s="209"/>
    </row>
    <row r="940">
      <c r="B940" s="209"/>
      <c r="C940" s="209"/>
      <c r="D940" s="209"/>
      <c r="E940" s="209"/>
      <c r="F940" s="209"/>
      <c r="G940" s="209"/>
      <c r="H940" s="209"/>
      <c r="I940" s="209"/>
      <c r="J940" s="209"/>
      <c r="K940" s="209"/>
      <c r="L940" s="209"/>
      <c r="M940" s="209"/>
      <c r="N940" s="209"/>
      <c r="O940" s="209"/>
    </row>
    <row r="941">
      <c r="B941" s="209"/>
      <c r="C941" s="209"/>
      <c r="D941" s="209"/>
      <c r="E941" s="209"/>
      <c r="F941" s="209"/>
      <c r="G941" s="209"/>
      <c r="H941" s="209"/>
      <c r="I941" s="209"/>
      <c r="J941" s="209"/>
      <c r="K941" s="209"/>
      <c r="L941" s="209"/>
      <c r="M941" s="209"/>
      <c r="N941" s="209"/>
      <c r="O941" s="209"/>
    </row>
    <row r="942">
      <c r="B942" s="209"/>
      <c r="C942" s="209"/>
      <c r="D942" s="209"/>
      <c r="E942" s="209"/>
      <c r="F942" s="209"/>
      <c r="G942" s="209"/>
      <c r="H942" s="209"/>
      <c r="I942" s="209"/>
      <c r="J942" s="209"/>
      <c r="K942" s="209"/>
      <c r="L942" s="209"/>
      <c r="M942" s="209"/>
      <c r="N942" s="209"/>
      <c r="O942" s="209"/>
    </row>
    <row r="943">
      <c r="B943" s="209"/>
      <c r="C943" s="209"/>
      <c r="D943" s="209"/>
      <c r="E943" s="209"/>
      <c r="F943" s="209"/>
      <c r="G943" s="209"/>
      <c r="H943" s="209"/>
      <c r="I943" s="209"/>
      <c r="J943" s="209"/>
      <c r="K943" s="209"/>
      <c r="L943" s="209"/>
      <c r="M943" s="209"/>
      <c r="N943" s="209"/>
      <c r="O943" s="209"/>
    </row>
    <row r="944">
      <c r="B944" s="209"/>
      <c r="C944" s="209"/>
      <c r="D944" s="209"/>
      <c r="E944" s="209"/>
      <c r="F944" s="209"/>
      <c r="G944" s="209"/>
      <c r="H944" s="209"/>
      <c r="I944" s="209"/>
      <c r="J944" s="209"/>
      <c r="K944" s="209"/>
      <c r="L944" s="209"/>
      <c r="M944" s="209"/>
      <c r="N944" s="209"/>
      <c r="O944" s="209"/>
    </row>
    <row r="945">
      <c r="B945" s="209"/>
      <c r="C945" s="209"/>
      <c r="D945" s="209"/>
      <c r="E945" s="209"/>
      <c r="F945" s="209"/>
      <c r="G945" s="209"/>
      <c r="H945" s="209"/>
      <c r="I945" s="209"/>
      <c r="J945" s="209"/>
      <c r="K945" s="209"/>
      <c r="L945" s="209"/>
      <c r="M945" s="209"/>
      <c r="N945" s="209"/>
      <c r="O945" s="209"/>
    </row>
    <row r="946">
      <c r="B946" s="209"/>
      <c r="C946" s="209"/>
      <c r="D946" s="209"/>
      <c r="E946" s="209"/>
      <c r="F946" s="209"/>
      <c r="G946" s="209"/>
      <c r="H946" s="209"/>
      <c r="I946" s="209"/>
      <c r="J946" s="209"/>
      <c r="K946" s="209"/>
      <c r="L946" s="209"/>
      <c r="M946" s="209"/>
      <c r="N946" s="209"/>
      <c r="O946" s="209"/>
    </row>
    <row r="947">
      <c r="B947" s="209"/>
      <c r="C947" s="209"/>
      <c r="D947" s="209"/>
      <c r="E947" s="209"/>
      <c r="F947" s="209"/>
      <c r="G947" s="209"/>
      <c r="H947" s="209"/>
      <c r="I947" s="209"/>
      <c r="J947" s="209"/>
      <c r="K947" s="209"/>
      <c r="L947" s="209"/>
      <c r="M947" s="209"/>
      <c r="N947" s="209"/>
      <c r="O947" s="209"/>
    </row>
    <row r="948">
      <c r="B948" s="209"/>
      <c r="C948" s="209"/>
      <c r="D948" s="209"/>
      <c r="E948" s="209"/>
      <c r="F948" s="209"/>
      <c r="G948" s="209"/>
      <c r="H948" s="209"/>
      <c r="I948" s="209"/>
      <c r="J948" s="209"/>
      <c r="K948" s="209"/>
      <c r="L948" s="209"/>
      <c r="M948" s="209"/>
      <c r="N948" s="209"/>
      <c r="O948" s="209"/>
    </row>
    <row r="949">
      <c r="B949" s="209"/>
      <c r="C949" s="209"/>
      <c r="D949" s="209"/>
      <c r="E949" s="209"/>
      <c r="F949" s="209"/>
      <c r="G949" s="209"/>
      <c r="H949" s="209"/>
      <c r="I949" s="209"/>
      <c r="J949" s="209"/>
      <c r="K949" s="209"/>
      <c r="L949" s="209"/>
      <c r="M949" s="209"/>
      <c r="N949" s="209"/>
      <c r="O949" s="209"/>
    </row>
    <row r="950">
      <c r="B950" s="209"/>
      <c r="C950" s="209"/>
      <c r="D950" s="209"/>
      <c r="E950" s="209"/>
      <c r="F950" s="209"/>
      <c r="G950" s="209"/>
      <c r="H950" s="209"/>
      <c r="I950" s="209"/>
      <c r="J950" s="209"/>
      <c r="K950" s="209"/>
      <c r="L950" s="209"/>
      <c r="M950" s="209"/>
      <c r="N950" s="209"/>
      <c r="O950" s="209"/>
    </row>
    <row r="951">
      <c r="B951" s="209"/>
      <c r="C951" s="209"/>
      <c r="D951" s="209"/>
      <c r="E951" s="209"/>
      <c r="F951" s="209"/>
      <c r="G951" s="209"/>
      <c r="H951" s="209"/>
      <c r="I951" s="209"/>
      <c r="J951" s="209"/>
      <c r="K951" s="209"/>
      <c r="L951" s="209"/>
      <c r="M951" s="209"/>
      <c r="N951" s="209"/>
      <c r="O951" s="209"/>
    </row>
    <row r="952">
      <c r="B952" s="209"/>
      <c r="C952" s="209"/>
      <c r="D952" s="209"/>
      <c r="E952" s="209"/>
      <c r="F952" s="209"/>
      <c r="G952" s="209"/>
      <c r="H952" s="209"/>
      <c r="I952" s="209"/>
      <c r="J952" s="209"/>
      <c r="K952" s="209"/>
      <c r="L952" s="209"/>
      <c r="M952" s="209"/>
      <c r="N952" s="209"/>
      <c r="O952" s="209"/>
    </row>
    <row r="953">
      <c r="B953" s="209"/>
      <c r="C953" s="209"/>
      <c r="D953" s="209"/>
      <c r="E953" s="209"/>
      <c r="F953" s="209"/>
      <c r="G953" s="209"/>
      <c r="H953" s="209"/>
      <c r="I953" s="209"/>
      <c r="J953" s="209"/>
      <c r="K953" s="209"/>
      <c r="L953" s="209"/>
      <c r="M953" s="209"/>
      <c r="N953" s="209"/>
      <c r="O953" s="209"/>
    </row>
    <row r="954">
      <c r="B954" s="209"/>
      <c r="C954" s="209"/>
      <c r="D954" s="209"/>
      <c r="E954" s="209"/>
      <c r="F954" s="209"/>
      <c r="G954" s="209"/>
      <c r="H954" s="209"/>
      <c r="I954" s="209"/>
      <c r="J954" s="209"/>
      <c r="K954" s="209"/>
      <c r="L954" s="209"/>
      <c r="M954" s="209"/>
      <c r="N954" s="209"/>
      <c r="O954" s="209"/>
    </row>
    <row r="955">
      <c r="B955" s="209"/>
      <c r="C955" s="209"/>
      <c r="D955" s="209"/>
      <c r="E955" s="209"/>
      <c r="F955" s="209"/>
      <c r="G955" s="209"/>
      <c r="H955" s="209"/>
      <c r="I955" s="209"/>
      <c r="J955" s="209"/>
      <c r="K955" s="209"/>
      <c r="L955" s="209"/>
      <c r="M955" s="209"/>
      <c r="N955" s="209"/>
      <c r="O955" s="209"/>
    </row>
    <row r="956">
      <c r="B956" s="209"/>
      <c r="C956" s="209"/>
      <c r="D956" s="209"/>
      <c r="E956" s="209"/>
      <c r="F956" s="209"/>
      <c r="G956" s="209"/>
      <c r="H956" s="209"/>
      <c r="I956" s="209"/>
      <c r="J956" s="209"/>
      <c r="K956" s="209"/>
      <c r="L956" s="209"/>
      <c r="M956" s="209"/>
      <c r="N956" s="209"/>
      <c r="O956" s="209"/>
    </row>
    <row r="957">
      <c r="B957" s="209"/>
      <c r="C957" s="209"/>
      <c r="D957" s="209"/>
      <c r="E957" s="209"/>
      <c r="F957" s="209"/>
      <c r="G957" s="209"/>
      <c r="H957" s="209"/>
      <c r="I957" s="209"/>
      <c r="J957" s="209"/>
      <c r="K957" s="209"/>
      <c r="L957" s="209"/>
      <c r="M957" s="209"/>
      <c r="N957" s="209"/>
      <c r="O957" s="209"/>
    </row>
    <row r="958">
      <c r="B958" s="209"/>
      <c r="C958" s="209"/>
      <c r="D958" s="209"/>
      <c r="E958" s="209"/>
      <c r="F958" s="209"/>
      <c r="G958" s="209"/>
      <c r="H958" s="209"/>
      <c r="I958" s="209"/>
      <c r="J958" s="209"/>
      <c r="K958" s="209"/>
      <c r="L958" s="209"/>
      <c r="M958" s="209"/>
      <c r="N958" s="209"/>
      <c r="O958" s="209"/>
    </row>
    <row r="959">
      <c r="B959" s="209"/>
      <c r="C959" s="209"/>
      <c r="D959" s="209"/>
      <c r="E959" s="209"/>
      <c r="F959" s="209"/>
      <c r="G959" s="209"/>
      <c r="H959" s="209"/>
      <c r="I959" s="209"/>
      <c r="J959" s="209"/>
      <c r="K959" s="209"/>
      <c r="L959" s="209"/>
      <c r="M959" s="209"/>
      <c r="N959" s="209"/>
      <c r="O959" s="209"/>
    </row>
    <row r="960">
      <c r="B960" s="209"/>
      <c r="C960" s="209"/>
      <c r="D960" s="209"/>
      <c r="E960" s="209"/>
      <c r="F960" s="209"/>
      <c r="G960" s="209"/>
      <c r="H960" s="209"/>
      <c r="I960" s="209"/>
      <c r="J960" s="209"/>
      <c r="K960" s="209"/>
      <c r="L960" s="209"/>
      <c r="M960" s="209"/>
      <c r="N960" s="209"/>
      <c r="O960" s="209"/>
    </row>
    <row r="961">
      <c r="B961" s="209"/>
      <c r="C961" s="209"/>
      <c r="D961" s="209"/>
      <c r="E961" s="209"/>
      <c r="F961" s="209"/>
      <c r="G961" s="209"/>
      <c r="H961" s="209"/>
      <c r="I961" s="209"/>
      <c r="J961" s="209"/>
      <c r="K961" s="209"/>
      <c r="L961" s="209"/>
      <c r="M961" s="209"/>
      <c r="N961" s="209"/>
      <c r="O961" s="209"/>
    </row>
    <row r="962">
      <c r="B962" s="209"/>
      <c r="C962" s="209"/>
      <c r="D962" s="209"/>
      <c r="E962" s="209"/>
      <c r="F962" s="209"/>
      <c r="G962" s="209"/>
      <c r="H962" s="209"/>
      <c r="I962" s="209"/>
      <c r="J962" s="209"/>
      <c r="K962" s="209"/>
      <c r="L962" s="209"/>
      <c r="M962" s="209"/>
      <c r="N962" s="209"/>
      <c r="O962" s="209"/>
    </row>
    <row r="963">
      <c r="B963" s="209"/>
      <c r="C963" s="209"/>
      <c r="D963" s="209"/>
      <c r="E963" s="209"/>
      <c r="F963" s="209"/>
      <c r="G963" s="209"/>
      <c r="H963" s="209"/>
      <c r="I963" s="209"/>
      <c r="J963" s="209"/>
      <c r="K963" s="209"/>
      <c r="L963" s="209"/>
      <c r="M963" s="209"/>
      <c r="N963" s="209"/>
      <c r="O963" s="209"/>
    </row>
    <row r="964">
      <c r="B964" s="209"/>
      <c r="C964" s="209"/>
      <c r="D964" s="209"/>
      <c r="E964" s="209"/>
      <c r="F964" s="209"/>
      <c r="G964" s="209"/>
      <c r="H964" s="209"/>
      <c r="I964" s="209"/>
      <c r="J964" s="209"/>
      <c r="K964" s="209"/>
      <c r="L964" s="209"/>
      <c r="M964" s="209"/>
      <c r="N964" s="209"/>
      <c r="O964" s="209"/>
    </row>
    <row r="965">
      <c r="B965" s="209"/>
      <c r="C965" s="209"/>
      <c r="D965" s="209"/>
      <c r="E965" s="209"/>
      <c r="F965" s="209"/>
      <c r="G965" s="209"/>
      <c r="H965" s="209"/>
      <c r="I965" s="209"/>
      <c r="J965" s="209"/>
      <c r="K965" s="209"/>
      <c r="L965" s="209"/>
      <c r="M965" s="209"/>
      <c r="N965" s="209"/>
      <c r="O965" s="209"/>
    </row>
    <row r="966">
      <c r="B966" s="209"/>
      <c r="C966" s="209"/>
      <c r="D966" s="209"/>
      <c r="E966" s="209"/>
      <c r="F966" s="209"/>
      <c r="G966" s="209"/>
      <c r="H966" s="209"/>
      <c r="I966" s="209"/>
      <c r="J966" s="209"/>
      <c r="K966" s="209"/>
      <c r="L966" s="209"/>
      <c r="M966" s="209"/>
      <c r="N966" s="209"/>
      <c r="O966" s="209"/>
    </row>
    <row r="967">
      <c r="B967" s="209"/>
      <c r="C967" s="209"/>
      <c r="D967" s="209"/>
      <c r="E967" s="209"/>
      <c r="F967" s="209"/>
      <c r="G967" s="209"/>
      <c r="H967" s="209"/>
      <c r="I967" s="209"/>
      <c r="J967" s="209"/>
      <c r="K967" s="209"/>
      <c r="L967" s="209"/>
      <c r="M967" s="209"/>
      <c r="N967" s="209"/>
      <c r="O967" s="209"/>
    </row>
    <row r="968">
      <c r="B968" s="209"/>
      <c r="C968" s="209"/>
      <c r="D968" s="209"/>
      <c r="E968" s="209"/>
      <c r="F968" s="209"/>
      <c r="G968" s="209"/>
      <c r="H968" s="209"/>
      <c r="I968" s="209"/>
      <c r="J968" s="209"/>
      <c r="K968" s="209"/>
      <c r="L968" s="209"/>
      <c r="M968" s="209"/>
      <c r="N968" s="209"/>
      <c r="O968" s="209"/>
    </row>
    <row r="969">
      <c r="B969" s="209"/>
      <c r="C969" s="209"/>
      <c r="D969" s="209"/>
      <c r="E969" s="209"/>
      <c r="F969" s="209"/>
      <c r="G969" s="209"/>
      <c r="H969" s="209"/>
      <c r="I969" s="209"/>
      <c r="J969" s="209"/>
      <c r="K969" s="209"/>
      <c r="L969" s="209"/>
      <c r="M969" s="209"/>
      <c r="N969" s="209"/>
      <c r="O969" s="209"/>
    </row>
    <row r="970">
      <c r="B970" s="209"/>
      <c r="C970" s="209"/>
      <c r="D970" s="209"/>
      <c r="E970" s="209"/>
      <c r="F970" s="209"/>
      <c r="G970" s="209"/>
      <c r="H970" s="209"/>
      <c r="I970" s="209"/>
      <c r="J970" s="209"/>
      <c r="K970" s="209"/>
      <c r="L970" s="209"/>
      <c r="M970" s="209"/>
      <c r="N970" s="209"/>
      <c r="O970" s="209"/>
    </row>
    <row r="971">
      <c r="B971" s="209"/>
      <c r="C971" s="209"/>
      <c r="D971" s="209"/>
      <c r="E971" s="209"/>
      <c r="F971" s="209"/>
      <c r="G971" s="209"/>
      <c r="H971" s="209"/>
      <c r="I971" s="209"/>
      <c r="J971" s="209"/>
      <c r="K971" s="209"/>
      <c r="L971" s="209"/>
      <c r="M971" s="209"/>
      <c r="N971" s="209"/>
      <c r="O971" s="209"/>
    </row>
    <row r="972">
      <c r="B972" s="209"/>
      <c r="C972" s="209"/>
      <c r="D972" s="209"/>
      <c r="E972" s="209"/>
      <c r="F972" s="209"/>
      <c r="G972" s="209"/>
      <c r="H972" s="209"/>
      <c r="I972" s="209"/>
      <c r="J972" s="209"/>
      <c r="K972" s="209"/>
      <c r="L972" s="209"/>
      <c r="M972" s="209"/>
      <c r="N972" s="209"/>
      <c r="O972" s="209"/>
    </row>
    <row r="973">
      <c r="B973" s="209"/>
      <c r="C973" s="209"/>
      <c r="D973" s="209"/>
      <c r="E973" s="209"/>
      <c r="F973" s="209"/>
      <c r="G973" s="209"/>
      <c r="H973" s="209"/>
      <c r="I973" s="209"/>
      <c r="J973" s="209"/>
      <c r="K973" s="209"/>
      <c r="L973" s="209"/>
      <c r="M973" s="209"/>
      <c r="N973" s="209"/>
      <c r="O973" s="209"/>
    </row>
    <row r="974">
      <c r="B974" s="209"/>
      <c r="C974" s="209"/>
      <c r="D974" s="209"/>
      <c r="E974" s="209"/>
      <c r="F974" s="209"/>
      <c r="G974" s="209"/>
      <c r="H974" s="209"/>
      <c r="I974" s="209"/>
      <c r="J974" s="209"/>
      <c r="K974" s="209"/>
      <c r="L974" s="209"/>
      <c r="M974" s="209"/>
      <c r="N974" s="209"/>
      <c r="O974" s="209"/>
    </row>
    <row r="975">
      <c r="B975" s="209"/>
      <c r="C975" s="209"/>
      <c r="D975" s="209"/>
      <c r="E975" s="209"/>
      <c r="F975" s="209"/>
      <c r="G975" s="209"/>
      <c r="H975" s="209"/>
      <c r="I975" s="209"/>
      <c r="J975" s="209"/>
      <c r="K975" s="209"/>
      <c r="L975" s="209"/>
      <c r="M975" s="209"/>
      <c r="N975" s="209"/>
      <c r="O975" s="209"/>
    </row>
    <row r="976">
      <c r="B976" s="209"/>
      <c r="C976" s="209"/>
      <c r="D976" s="209"/>
      <c r="E976" s="209"/>
      <c r="F976" s="209"/>
      <c r="G976" s="209"/>
      <c r="H976" s="209"/>
      <c r="I976" s="209"/>
      <c r="J976" s="209"/>
      <c r="K976" s="209"/>
      <c r="L976" s="209"/>
      <c r="M976" s="209"/>
      <c r="N976" s="209"/>
      <c r="O976" s="209"/>
    </row>
    <row r="977">
      <c r="B977" s="209"/>
      <c r="C977" s="209"/>
      <c r="D977" s="209"/>
      <c r="E977" s="209"/>
      <c r="F977" s="209"/>
      <c r="G977" s="209"/>
      <c r="H977" s="209"/>
      <c r="I977" s="209"/>
      <c r="J977" s="209"/>
      <c r="K977" s="209"/>
      <c r="L977" s="209"/>
      <c r="M977" s="209"/>
      <c r="N977" s="209"/>
      <c r="O977" s="209"/>
    </row>
    <row r="978">
      <c r="B978" s="209"/>
      <c r="C978" s="209"/>
      <c r="D978" s="209"/>
      <c r="E978" s="209"/>
      <c r="F978" s="209"/>
      <c r="G978" s="209"/>
      <c r="H978" s="209"/>
      <c r="I978" s="209"/>
      <c r="J978" s="209"/>
      <c r="K978" s="209"/>
      <c r="L978" s="209"/>
      <c r="M978" s="209"/>
      <c r="N978" s="209"/>
      <c r="O978" s="209"/>
    </row>
    <row r="979">
      <c r="B979" s="209"/>
      <c r="C979" s="209"/>
      <c r="D979" s="209"/>
      <c r="E979" s="209"/>
      <c r="F979" s="209"/>
      <c r="G979" s="209"/>
      <c r="H979" s="209"/>
      <c r="I979" s="209"/>
      <c r="J979" s="209"/>
      <c r="K979" s="209"/>
      <c r="L979" s="209"/>
      <c r="M979" s="209"/>
      <c r="N979" s="209"/>
      <c r="O979" s="209"/>
    </row>
    <row r="980">
      <c r="B980" s="209"/>
      <c r="C980" s="209"/>
      <c r="D980" s="209"/>
      <c r="E980" s="209"/>
      <c r="F980" s="209"/>
      <c r="G980" s="209"/>
      <c r="H980" s="209"/>
      <c r="I980" s="209"/>
      <c r="J980" s="209"/>
      <c r="K980" s="209"/>
      <c r="L980" s="209"/>
      <c r="M980" s="209"/>
      <c r="N980" s="209"/>
      <c r="O980" s="209"/>
    </row>
    <row r="981">
      <c r="B981" s="209"/>
      <c r="C981" s="209"/>
      <c r="D981" s="209"/>
      <c r="E981" s="209"/>
      <c r="F981" s="209"/>
      <c r="G981" s="209"/>
      <c r="H981" s="209"/>
      <c r="I981" s="209"/>
      <c r="J981" s="209"/>
      <c r="K981" s="209"/>
      <c r="L981" s="209"/>
      <c r="M981" s="209"/>
      <c r="N981" s="209"/>
      <c r="O981" s="209"/>
    </row>
    <row r="982">
      <c r="B982" s="209"/>
      <c r="C982" s="209"/>
      <c r="D982" s="209"/>
      <c r="E982" s="209"/>
      <c r="F982" s="209"/>
      <c r="G982" s="209"/>
      <c r="H982" s="209"/>
      <c r="I982" s="209"/>
      <c r="J982" s="209"/>
      <c r="K982" s="209"/>
      <c r="L982" s="209"/>
      <c r="M982" s="209"/>
      <c r="N982" s="209"/>
      <c r="O982" s="209"/>
    </row>
    <row r="983">
      <c r="B983" s="209"/>
      <c r="C983" s="209"/>
      <c r="D983" s="209"/>
      <c r="E983" s="209"/>
      <c r="F983" s="209"/>
      <c r="G983" s="209"/>
      <c r="H983" s="209"/>
      <c r="I983" s="209"/>
      <c r="J983" s="209"/>
      <c r="K983" s="209"/>
      <c r="L983" s="209"/>
      <c r="M983" s="209"/>
      <c r="N983" s="209"/>
      <c r="O983" s="209"/>
    </row>
    <row r="984">
      <c r="B984" s="209"/>
      <c r="C984" s="209"/>
      <c r="D984" s="209"/>
      <c r="E984" s="209"/>
      <c r="F984" s="209"/>
      <c r="G984" s="209"/>
      <c r="H984" s="209"/>
      <c r="I984" s="209"/>
      <c r="J984" s="209"/>
      <c r="K984" s="209"/>
      <c r="L984" s="209"/>
      <c r="M984" s="209"/>
      <c r="N984" s="209"/>
      <c r="O984" s="209"/>
    </row>
  </sheetData>
  <mergeCells count="10">
    <mergeCell ref="J57:O57"/>
    <mergeCell ref="P57:Q57"/>
    <mergeCell ref="A85:N85"/>
    <mergeCell ref="C1:H1"/>
    <mergeCell ref="J1:O1"/>
    <mergeCell ref="P1:Q1"/>
    <mergeCell ref="C29:H29"/>
    <mergeCell ref="J29:O29"/>
    <mergeCell ref="P29:Q29"/>
    <mergeCell ref="C57:H57"/>
  </mergeCell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25"/>
    <col customWidth="1" min="6" max="6" width="20.38"/>
    <col customWidth="1" min="7" max="7" width="8.5"/>
  </cols>
  <sheetData>
    <row r="1">
      <c r="A1" s="210"/>
      <c r="B1" s="211"/>
      <c r="C1" s="212" t="s">
        <v>218</v>
      </c>
      <c r="D1" s="213" t="s">
        <v>278</v>
      </c>
      <c r="E1" s="213" t="s">
        <v>220</v>
      </c>
      <c r="F1" s="213" t="s">
        <v>279</v>
      </c>
      <c r="G1" s="214" t="s">
        <v>280</v>
      </c>
    </row>
    <row r="2">
      <c r="A2" s="215" t="s">
        <v>281</v>
      </c>
      <c r="B2" s="216"/>
      <c r="C2" s="216"/>
      <c r="D2" s="216"/>
      <c r="E2" s="216"/>
      <c r="F2" s="216"/>
      <c r="G2" s="217"/>
    </row>
    <row r="3">
      <c r="A3" s="218" t="s">
        <v>24</v>
      </c>
      <c r="B3" s="218" t="s">
        <v>79</v>
      </c>
      <c r="C3" s="219">
        <v>0.777096675</v>
      </c>
      <c r="D3" s="220">
        <v>0.780303113</v>
      </c>
      <c r="E3" s="221">
        <v>0.737074185</v>
      </c>
      <c r="F3" s="222">
        <v>0.7648246577</v>
      </c>
      <c r="G3" s="223">
        <f t="shared" ref="G3:G76" si="1">max(C3:E3)-min(C3:E3)</f>
        <v>0.043228928</v>
      </c>
    </row>
    <row r="4">
      <c r="A4" s="218" t="s">
        <v>35</v>
      </c>
      <c r="B4" s="218" t="s">
        <v>79</v>
      </c>
      <c r="C4" s="224">
        <v>0.766463377</v>
      </c>
      <c r="D4" s="225">
        <v>0.736214404</v>
      </c>
      <c r="E4" s="224">
        <v>0.753295329</v>
      </c>
      <c r="F4" s="226">
        <v>0.7519910367</v>
      </c>
      <c r="G4" s="223">
        <f t="shared" si="1"/>
        <v>0.030248973</v>
      </c>
    </row>
    <row r="5">
      <c r="A5" s="218" t="s">
        <v>30</v>
      </c>
      <c r="B5" s="218" t="s">
        <v>79</v>
      </c>
      <c r="C5" s="227">
        <v>0.740881466</v>
      </c>
      <c r="D5" s="227">
        <v>0.713465995</v>
      </c>
      <c r="E5" s="228">
        <v>0.727190553</v>
      </c>
      <c r="F5" s="229">
        <v>0.727179338</v>
      </c>
      <c r="G5" s="223">
        <f t="shared" si="1"/>
        <v>0.027415471</v>
      </c>
    </row>
    <row r="6">
      <c r="A6" s="218" t="s">
        <v>79</v>
      </c>
      <c r="B6" s="218" t="s">
        <v>54</v>
      </c>
      <c r="C6" s="230">
        <v>-0.636365366</v>
      </c>
      <c r="D6" s="231">
        <v>-0.601654001</v>
      </c>
      <c r="E6" s="232">
        <v>-0.589700564</v>
      </c>
      <c r="F6" s="233">
        <v>0.609239977</v>
      </c>
      <c r="G6" s="223">
        <f t="shared" si="1"/>
        <v>0.046664802</v>
      </c>
    </row>
    <row r="7">
      <c r="A7" s="223" t="s">
        <v>30</v>
      </c>
      <c r="B7" s="223" t="s">
        <v>54</v>
      </c>
      <c r="C7" s="234">
        <v>-0.6188163</v>
      </c>
      <c r="D7" s="235">
        <v>-0.641057163</v>
      </c>
      <c r="E7" s="236">
        <v>-0.48759985</v>
      </c>
      <c r="F7" s="237">
        <f t="shared" ref="F7:F10" si="2">AVERAGE(ABS(C7),ABS(D7),ABS(E7))</f>
        <v>0.5824911043</v>
      </c>
      <c r="G7" s="223">
        <f t="shared" si="1"/>
        <v>0.153457313</v>
      </c>
    </row>
    <row r="8">
      <c r="A8" s="223" t="s">
        <v>35</v>
      </c>
      <c r="B8" s="223" t="s">
        <v>54</v>
      </c>
      <c r="C8" s="234">
        <v>-0.616147482</v>
      </c>
      <c r="D8" s="234">
        <v>-0.614439218</v>
      </c>
      <c r="E8" s="238">
        <v>-0.497386302</v>
      </c>
      <c r="F8" s="239">
        <f t="shared" si="2"/>
        <v>0.5759910007</v>
      </c>
      <c r="G8" s="223">
        <f t="shared" si="1"/>
        <v>0.11876118</v>
      </c>
    </row>
    <row r="9">
      <c r="A9" s="223" t="s">
        <v>24</v>
      </c>
      <c r="B9" s="223" t="s">
        <v>54</v>
      </c>
      <c r="C9" s="240">
        <v>-0.588745241</v>
      </c>
      <c r="D9" s="241">
        <v>-0.601160639</v>
      </c>
      <c r="E9" s="242">
        <v>-0.41249111</v>
      </c>
      <c r="F9" s="243">
        <f t="shared" si="2"/>
        <v>0.53413233</v>
      </c>
      <c r="G9" s="223">
        <f t="shared" si="1"/>
        <v>0.188669529</v>
      </c>
    </row>
    <row r="10">
      <c r="A10" s="244" t="s">
        <v>84</v>
      </c>
      <c r="B10" s="244" t="s">
        <v>7</v>
      </c>
      <c r="C10" s="245">
        <v>-0.530534181</v>
      </c>
      <c r="D10" s="246">
        <v>-0.671113168</v>
      </c>
      <c r="E10" s="247">
        <v>-0.361968133</v>
      </c>
      <c r="F10" s="248">
        <f t="shared" si="2"/>
        <v>0.5212051607</v>
      </c>
      <c r="G10" s="223">
        <f t="shared" si="1"/>
        <v>0.309145035</v>
      </c>
    </row>
    <row r="11">
      <c r="A11" s="218" t="s">
        <v>40</v>
      </c>
      <c r="B11" s="218" t="s">
        <v>79</v>
      </c>
      <c r="C11" s="249">
        <v>0.541153146</v>
      </c>
      <c r="D11" s="250">
        <v>0.52991807</v>
      </c>
      <c r="E11" s="251">
        <v>0.476425664</v>
      </c>
      <c r="F11" s="252">
        <v>0.5158322933</v>
      </c>
      <c r="G11" s="223">
        <f t="shared" si="1"/>
        <v>0.064727482</v>
      </c>
    </row>
    <row r="12">
      <c r="A12" s="244" t="s">
        <v>115</v>
      </c>
      <c r="B12" s="244" t="s">
        <v>262</v>
      </c>
      <c r="C12" s="248">
        <v>0.517905639</v>
      </c>
      <c r="D12" s="253">
        <v>0.542195892</v>
      </c>
      <c r="E12" s="254">
        <v>0.409284431</v>
      </c>
      <c r="F12" s="255">
        <f t="shared" ref="F12:F14" si="3">AVERAGE(ABS(C12),ABS(D12),ABS(E12))</f>
        <v>0.4897953207</v>
      </c>
      <c r="G12" s="223">
        <f t="shared" si="1"/>
        <v>0.132911461</v>
      </c>
    </row>
    <row r="13">
      <c r="A13" s="244" t="s">
        <v>7</v>
      </c>
      <c r="B13" s="256" t="s">
        <v>111</v>
      </c>
      <c r="C13" s="257">
        <v>0.457439283</v>
      </c>
      <c r="D13" s="258">
        <v>0.508421038</v>
      </c>
      <c r="E13" s="259">
        <v>0.461219526</v>
      </c>
      <c r="F13" s="260">
        <f t="shared" si="3"/>
        <v>0.4756932823</v>
      </c>
      <c r="G13" s="223">
        <f t="shared" si="1"/>
        <v>0.050981755</v>
      </c>
    </row>
    <row r="14">
      <c r="A14" s="223" t="s">
        <v>90</v>
      </c>
      <c r="B14" s="223" t="s">
        <v>7</v>
      </c>
      <c r="C14" s="261">
        <v>-0.466399375</v>
      </c>
      <c r="D14" s="262">
        <v>-0.448772858</v>
      </c>
      <c r="E14" s="242">
        <v>-0.412479405</v>
      </c>
      <c r="F14" s="263">
        <f t="shared" si="3"/>
        <v>0.442550546</v>
      </c>
      <c r="G14" s="223">
        <f t="shared" si="1"/>
        <v>0.05391997</v>
      </c>
    </row>
    <row r="15">
      <c r="A15" s="218" t="s">
        <v>67</v>
      </c>
      <c r="B15" s="218" t="s">
        <v>54</v>
      </c>
      <c r="C15" s="264">
        <v>0.346647987</v>
      </c>
      <c r="D15" s="265">
        <v>0.389148556</v>
      </c>
      <c r="E15" s="266">
        <v>0.533527447</v>
      </c>
      <c r="F15" s="267">
        <v>0.4231079967</v>
      </c>
      <c r="G15" s="223">
        <f t="shared" si="1"/>
        <v>0.18687946</v>
      </c>
    </row>
    <row r="16">
      <c r="A16" s="218" t="s">
        <v>67</v>
      </c>
      <c r="B16" s="218" t="s">
        <v>79</v>
      </c>
      <c r="C16" s="268">
        <v>-0.310167674</v>
      </c>
      <c r="D16" s="269">
        <v>-0.483852623</v>
      </c>
      <c r="E16" s="270">
        <v>-0.467160364</v>
      </c>
      <c r="F16" s="271">
        <v>0.4203935537</v>
      </c>
      <c r="G16" s="223">
        <f t="shared" si="1"/>
        <v>0.173684949</v>
      </c>
    </row>
    <row r="17">
      <c r="A17" s="223" t="s">
        <v>40</v>
      </c>
      <c r="B17" s="223" t="s">
        <v>54</v>
      </c>
      <c r="C17" s="272">
        <v>-0.467043106</v>
      </c>
      <c r="D17" s="273">
        <v>-0.494920707</v>
      </c>
      <c r="E17" s="274">
        <v>-0.289410996</v>
      </c>
      <c r="F17" s="275">
        <f t="shared" ref="F17:F24" si="4">AVERAGE(ABS(C17),ABS(D17),ABS(E17))</f>
        <v>0.4171249363</v>
      </c>
      <c r="G17" s="223">
        <f t="shared" si="1"/>
        <v>0.205509711</v>
      </c>
    </row>
    <row r="18">
      <c r="A18" s="244" t="s">
        <v>84</v>
      </c>
      <c r="B18" s="244" t="s">
        <v>90</v>
      </c>
      <c r="C18" s="276">
        <v>0.364281743</v>
      </c>
      <c r="D18" s="277">
        <v>0.135482812</v>
      </c>
      <c r="E18" s="278">
        <v>0.687768768</v>
      </c>
      <c r="F18" s="279">
        <f t="shared" si="4"/>
        <v>0.395844441</v>
      </c>
      <c r="G18" s="223">
        <f t="shared" si="1"/>
        <v>0.552285956</v>
      </c>
    </row>
    <row r="19">
      <c r="A19" s="244" t="s">
        <v>97</v>
      </c>
      <c r="B19" s="244" t="s">
        <v>262</v>
      </c>
      <c r="C19" s="280">
        <v>0.325335119</v>
      </c>
      <c r="D19" s="281">
        <v>0.436318288</v>
      </c>
      <c r="E19" s="282">
        <v>0.341356577</v>
      </c>
      <c r="F19" s="283">
        <f t="shared" si="4"/>
        <v>0.3676699947</v>
      </c>
      <c r="G19" s="223">
        <f t="shared" si="1"/>
        <v>0.110983169</v>
      </c>
    </row>
    <row r="20">
      <c r="A20" s="223" t="s">
        <v>7</v>
      </c>
      <c r="B20" s="223" t="s">
        <v>270</v>
      </c>
      <c r="C20" s="284">
        <v>0.39427934</v>
      </c>
      <c r="D20" s="285">
        <v>0.287088319</v>
      </c>
      <c r="E20" s="286">
        <v>0.380313412</v>
      </c>
      <c r="F20" s="287">
        <f t="shared" si="4"/>
        <v>0.3538936903</v>
      </c>
      <c r="G20" s="223">
        <f t="shared" si="1"/>
        <v>0.107191021</v>
      </c>
    </row>
    <row r="21">
      <c r="A21" s="223" t="s">
        <v>24</v>
      </c>
      <c r="B21" s="223" t="s">
        <v>111</v>
      </c>
      <c r="C21" s="288">
        <v>0.303014446</v>
      </c>
      <c r="D21" s="289">
        <v>0.418441815</v>
      </c>
      <c r="E21" s="290">
        <v>0.324691197</v>
      </c>
      <c r="F21" s="291">
        <f t="shared" si="4"/>
        <v>0.3487158193</v>
      </c>
      <c r="G21" s="223">
        <f t="shared" si="1"/>
        <v>0.115427369</v>
      </c>
    </row>
    <row r="22">
      <c r="A22" s="223" t="s">
        <v>30</v>
      </c>
      <c r="B22" s="223" t="s">
        <v>111</v>
      </c>
      <c r="C22" s="292">
        <v>0.298764136</v>
      </c>
      <c r="D22" s="293">
        <v>0.38626119</v>
      </c>
      <c r="E22" s="294">
        <v>0.325489171</v>
      </c>
      <c r="F22" s="295">
        <f t="shared" si="4"/>
        <v>0.3368381657</v>
      </c>
      <c r="G22" s="223">
        <f t="shared" si="1"/>
        <v>0.087497054</v>
      </c>
    </row>
    <row r="23">
      <c r="A23" s="223" t="s">
        <v>97</v>
      </c>
      <c r="B23" s="296" t="s">
        <v>18</v>
      </c>
      <c r="C23" s="297">
        <v>0.334414309</v>
      </c>
      <c r="D23" s="298">
        <v>0.314641189</v>
      </c>
      <c r="E23" s="297">
        <v>0.333278293</v>
      </c>
      <c r="F23" s="299">
        <f t="shared" si="4"/>
        <v>0.327444597</v>
      </c>
      <c r="G23" s="223">
        <f t="shared" si="1"/>
        <v>0.01977312</v>
      </c>
    </row>
    <row r="24">
      <c r="A24" s="223" t="s">
        <v>35</v>
      </c>
      <c r="B24" s="296" t="s">
        <v>111</v>
      </c>
      <c r="C24" s="300">
        <v>0.290613413</v>
      </c>
      <c r="D24" s="301">
        <v>0.367900245</v>
      </c>
      <c r="E24" s="302">
        <v>0.286263305</v>
      </c>
      <c r="F24" s="303">
        <f t="shared" si="4"/>
        <v>0.3149256543</v>
      </c>
      <c r="G24" s="223">
        <f t="shared" si="1"/>
        <v>0.08163694</v>
      </c>
    </row>
    <row r="25">
      <c r="A25" s="218" t="s">
        <v>67</v>
      </c>
      <c r="B25" s="218" t="s">
        <v>35</v>
      </c>
      <c r="C25" s="304">
        <v>-0.194704298</v>
      </c>
      <c r="D25" s="305">
        <v>-0.359197244</v>
      </c>
      <c r="E25" s="305">
        <v>-0.360718447</v>
      </c>
      <c r="F25" s="306">
        <v>0.3048733297</v>
      </c>
      <c r="G25" s="223">
        <f t="shared" si="1"/>
        <v>0.166014149</v>
      </c>
    </row>
    <row r="26">
      <c r="A26" s="223" t="s">
        <v>24</v>
      </c>
      <c r="B26" s="223" t="s">
        <v>270</v>
      </c>
      <c r="C26" s="307">
        <v>0.329770336</v>
      </c>
      <c r="D26" s="308">
        <v>0.253543397</v>
      </c>
      <c r="E26" s="309">
        <v>0.310686878</v>
      </c>
      <c r="F26" s="292">
        <f t="shared" ref="F26:F32" si="5">AVERAGE(ABS(C26),ABS(D26),ABS(E26))</f>
        <v>0.2980002037</v>
      </c>
      <c r="G26" s="223">
        <f t="shared" si="1"/>
        <v>0.076226939</v>
      </c>
    </row>
    <row r="27">
      <c r="A27" s="223" t="s">
        <v>59</v>
      </c>
      <c r="B27" s="223" t="s">
        <v>35</v>
      </c>
      <c r="C27" s="310">
        <v>0.285469846</v>
      </c>
      <c r="D27" s="293">
        <v>0.386376101</v>
      </c>
      <c r="E27" s="311">
        <v>0.221702078</v>
      </c>
      <c r="F27" s="292">
        <f t="shared" si="5"/>
        <v>0.2978493417</v>
      </c>
      <c r="G27" s="223">
        <f t="shared" si="1"/>
        <v>0.164674023</v>
      </c>
    </row>
    <row r="28">
      <c r="A28" s="223" t="s">
        <v>59</v>
      </c>
      <c r="B28" s="223" t="s">
        <v>30</v>
      </c>
      <c r="C28" s="312">
        <v>0.277082104</v>
      </c>
      <c r="D28" s="301">
        <v>0.369978802</v>
      </c>
      <c r="E28" s="313">
        <v>0.244022666</v>
      </c>
      <c r="F28" s="292">
        <f t="shared" si="5"/>
        <v>0.2970278573</v>
      </c>
      <c r="G28" s="223">
        <f t="shared" si="1"/>
        <v>0.125956136</v>
      </c>
    </row>
    <row r="29">
      <c r="A29" s="223" t="s">
        <v>30</v>
      </c>
      <c r="B29" s="223" t="s">
        <v>270</v>
      </c>
      <c r="C29" s="314">
        <v>0.327794319</v>
      </c>
      <c r="D29" s="315">
        <v>0.228840406</v>
      </c>
      <c r="E29" s="314">
        <v>0.325685619</v>
      </c>
      <c r="F29" s="300">
        <f t="shared" si="5"/>
        <v>0.2941067813</v>
      </c>
      <c r="G29" s="223">
        <f t="shared" si="1"/>
        <v>0.098953913</v>
      </c>
    </row>
    <row r="30">
      <c r="A30" s="223" t="s">
        <v>84</v>
      </c>
      <c r="B30" s="223" t="s">
        <v>115</v>
      </c>
      <c r="C30" s="316">
        <v>-0.30088961</v>
      </c>
      <c r="D30" s="317">
        <v>-0.248792698</v>
      </c>
      <c r="E30" s="318">
        <v>-0.32205001</v>
      </c>
      <c r="F30" s="300">
        <f t="shared" si="5"/>
        <v>0.2905774393</v>
      </c>
      <c r="G30" s="223">
        <f t="shared" si="1"/>
        <v>0.073257312</v>
      </c>
    </row>
    <row r="31">
      <c r="A31" s="223" t="s">
        <v>84</v>
      </c>
      <c r="B31" s="296" t="s">
        <v>111</v>
      </c>
      <c r="C31" s="319">
        <v>-0.25916881</v>
      </c>
      <c r="D31" s="320">
        <v>-0.360292605</v>
      </c>
      <c r="E31" s="321">
        <v>-0.229842605</v>
      </c>
      <c r="F31" s="310">
        <f t="shared" si="5"/>
        <v>0.28310134</v>
      </c>
      <c r="G31" s="223">
        <f t="shared" si="1"/>
        <v>0.13045</v>
      </c>
    </row>
    <row r="32">
      <c r="A32" s="223" t="s">
        <v>97</v>
      </c>
      <c r="B32" s="223" t="s">
        <v>7</v>
      </c>
      <c r="C32" s="322">
        <v>0.266500099</v>
      </c>
      <c r="D32" s="323">
        <v>0.330552106</v>
      </c>
      <c r="E32" s="308">
        <v>0.252058678</v>
      </c>
      <c r="F32" s="310">
        <f t="shared" si="5"/>
        <v>0.283036961</v>
      </c>
      <c r="G32" s="223">
        <f t="shared" si="1"/>
        <v>0.078493428</v>
      </c>
    </row>
    <row r="33">
      <c r="A33" s="218" t="s">
        <v>67</v>
      </c>
      <c r="B33" s="218" t="s">
        <v>24</v>
      </c>
      <c r="C33" s="324">
        <v>-0.149933891</v>
      </c>
      <c r="D33" s="325">
        <v>-0.400431232</v>
      </c>
      <c r="E33" s="326">
        <v>-0.285393315</v>
      </c>
      <c r="F33" s="306">
        <v>0.278586146</v>
      </c>
      <c r="G33" s="223">
        <f t="shared" si="1"/>
        <v>0.250497341</v>
      </c>
    </row>
    <row r="34">
      <c r="A34" s="223" t="s">
        <v>54</v>
      </c>
      <c r="B34" s="223" t="s">
        <v>111</v>
      </c>
      <c r="C34" s="327">
        <v>-0.291644477</v>
      </c>
      <c r="D34" s="327">
        <v>-0.297272902</v>
      </c>
      <c r="E34" s="328">
        <v>-0.243463244</v>
      </c>
      <c r="F34" s="312">
        <f t="shared" ref="F34:F36" si="6">AVERAGE(ABS(C34),ABS(D34),ABS(E34))</f>
        <v>0.2774602077</v>
      </c>
      <c r="G34" s="223">
        <f t="shared" si="1"/>
        <v>0.053809658</v>
      </c>
    </row>
    <row r="35">
      <c r="A35" s="223" t="s">
        <v>49</v>
      </c>
      <c r="B35" s="223" t="s">
        <v>268</v>
      </c>
      <c r="C35" s="329">
        <v>0.348364131</v>
      </c>
      <c r="D35" s="330">
        <v>0.248312411</v>
      </c>
      <c r="E35" s="331">
        <v>0.231624471</v>
      </c>
      <c r="F35" s="332">
        <f t="shared" si="6"/>
        <v>0.2761003377</v>
      </c>
      <c r="G35" s="223">
        <f t="shared" si="1"/>
        <v>0.11673966</v>
      </c>
    </row>
    <row r="36">
      <c r="A36" s="223" t="s">
        <v>115</v>
      </c>
      <c r="B36" s="223" t="s">
        <v>7</v>
      </c>
      <c r="C36" s="333">
        <v>0.292425919</v>
      </c>
      <c r="D36" s="334">
        <v>0.282939185</v>
      </c>
      <c r="E36" s="335">
        <v>0.25148349</v>
      </c>
      <c r="F36" s="336">
        <f t="shared" si="6"/>
        <v>0.275616198</v>
      </c>
      <c r="G36" s="223">
        <f t="shared" si="1"/>
        <v>0.040942429</v>
      </c>
    </row>
    <row r="37">
      <c r="A37" s="223" t="s">
        <v>79</v>
      </c>
      <c r="B37" s="223" t="s">
        <v>111</v>
      </c>
      <c r="C37" s="337">
        <v>0.244998463</v>
      </c>
      <c r="D37" s="338">
        <v>0.299020478</v>
      </c>
      <c r="E37" s="339">
        <v>0.25968037</v>
      </c>
      <c r="F37" s="340">
        <v>0.2678997703</v>
      </c>
      <c r="G37" s="223">
        <f t="shared" si="1"/>
        <v>0.054022015</v>
      </c>
    </row>
    <row r="38">
      <c r="A38" s="218" t="s">
        <v>67</v>
      </c>
      <c r="B38" s="218" t="s">
        <v>30</v>
      </c>
      <c r="C38" s="341">
        <v>-0.119656813</v>
      </c>
      <c r="D38" s="342">
        <v>-0.362719788</v>
      </c>
      <c r="E38" s="343">
        <v>-0.299491328</v>
      </c>
      <c r="F38" s="344">
        <v>0.260622643</v>
      </c>
      <c r="G38" s="223">
        <f t="shared" si="1"/>
        <v>0.243062975</v>
      </c>
    </row>
    <row r="39">
      <c r="A39" s="223" t="s">
        <v>35</v>
      </c>
      <c r="B39" s="223" t="s">
        <v>270</v>
      </c>
      <c r="C39" s="345">
        <v>0.307050199</v>
      </c>
      <c r="D39" s="346">
        <v>0.195072078</v>
      </c>
      <c r="E39" s="332">
        <v>0.272528116</v>
      </c>
      <c r="F39" s="347">
        <f t="shared" ref="F39:F47" si="7">AVERAGE(ABS(C39),ABS(D39),ABS(E39))</f>
        <v>0.2582167977</v>
      </c>
      <c r="G39" s="223">
        <f t="shared" si="1"/>
        <v>0.111978121</v>
      </c>
    </row>
    <row r="40">
      <c r="A40" s="223" t="s">
        <v>40</v>
      </c>
      <c r="B40" s="223" t="s">
        <v>111</v>
      </c>
      <c r="C40" s="348">
        <v>0.213592022</v>
      </c>
      <c r="D40" s="290">
        <v>0.324813474</v>
      </c>
      <c r="E40" s="315">
        <v>0.229107146</v>
      </c>
      <c r="F40" s="347">
        <f t="shared" si="7"/>
        <v>0.2558375473</v>
      </c>
      <c r="G40" s="223">
        <f t="shared" si="1"/>
        <v>0.111221452</v>
      </c>
    </row>
    <row r="41">
      <c r="A41" s="223" t="s">
        <v>269</v>
      </c>
      <c r="B41" s="223" t="s">
        <v>49</v>
      </c>
      <c r="C41" s="349">
        <v>0.318528562478784</v>
      </c>
      <c r="D41" s="349">
        <v>0.19509061353353</v>
      </c>
      <c r="E41" s="349">
        <v>0.235640104814433</v>
      </c>
      <c r="F41" s="349">
        <f t="shared" si="7"/>
        <v>0.2497530936</v>
      </c>
      <c r="G41" s="223">
        <f t="shared" si="1"/>
        <v>0.1234379489</v>
      </c>
    </row>
    <row r="42">
      <c r="A42" s="223" t="s">
        <v>115</v>
      </c>
      <c r="B42" s="223" t="s">
        <v>54</v>
      </c>
      <c r="C42" s="350">
        <v>0.2359414</v>
      </c>
      <c r="D42" s="351">
        <v>0.208537141</v>
      </c>
      <c r="E42" s="352">
        <v>0.302538372</v>
      </c>
      <c r="F42" s="353">
        <f t="shared" si="7"/>
        <v>0.2490056377</v>
      </c>
      <c r="G42" s="223">
        <f t="shared" si="1"/>
        <v>0.094001231</v>
      </c>
    </row>
    <row r="43">
      <c r="A43" s="223" t="s">
        <v>84</v>
      </c>
      <c r="B43" s="223" t="s">
        <v>67</v>
      </c>
      <c r="C43" s="354">
        <v>-0.219662101</v>
      </c>
      <c r="D43" s="355">
        <v>-0.115138795</v>
      </c>
      <c r="E43" s="356">
        <v>-0.392238729</v>
      </c>
      <c r="F43" s="357">
        <f t="shared" si="7"/>
        <v>0.2423465417</v>
      </c>
      <c r="G43" s="223">
        <f t="shared" si="1"/>
        <v>0.277099934</v>
      </c>
    </row>
    <row r="44">
      <c r="A44" s="223" t="s">
        <v>59</v>
      </c>
      <c r="B44" s="223" t="s">
        <v>24</v>
      </c>
      <c r="C44" s="358">
        <v>0.227575385</v>
      </c>
      <c r="D44" s="298">
        <v>0.313479787</v>
      </c>
      <c r="E44" s="359">
        <v>0.172213349</v>
      </c>
      <c r="F44" s="350">
        <f t="shared" si="7"/>
        <v>0.2377561737</v>
      </c>
      <c r="G44" s="223">
        <f t="shared" si="1"/>
        <v>0.141266438</v>
      </c>
    </row>
    <row r="45">
      <c r="A45" s="223" t="s">
        <v>90</v>
      </c>
      <c r="B45" s="223" t="s">
        <v>111</v>
      </c>
      <c r="C45" s="321">
        <v>-0.226562221</v>
      </c>
      <c r="D45" s="321">
        <v>-0.22693571</v>
      </c>
      <c r="E45" s="360">
        <v>-0.238645193</v>
      </c>
      <c r="F45" s="331">
        <f t="shared" si="7"/>
        <v>0.2307143747</v>
      </c>
      <c r="G45" s="223">
        <f t="shared" si="1"/>
        <v>0.012082972</v>
      </c>
    </row>
    <row r="46">
      <c r="A46" s="223" t="s">
        <v>97</v>
      </c>
      <c r="B46" s="223" t="s">
        <v>54</v>
      </c>
      <c r="C46" s="361">
        <v>0.256067412</v>
      </c>
      <c r="D46" s="362">
        <v>0.14810449</v>
      </c>
      <c r="E46" s="363">
        <v>0.282119523</v>
      </c>
      <c r="F46" s="364">
        <f t="shared" si="7"/>
        <v>0.2287638083</v>
      </c>
      <c r="G46" s="223">
        <f t="shared" si="1"/>
        <v>0.134015033</v>
      </c>
    </row>
    <row r="47">
      <c r="A47" s="223" t="s">
        <v>24</v>
      </c>
      <c r="B47" s="223" t="s">
        <v>268</v>
      </c>
      <c r="C47" s="365">
        <v>0.254626911</v>
      </c>
      <c r="D47" s="366">
        <v>0.280051434</v>
      </c>
      <c r="E47" s="367">
        <v>0.151264425</v>
      </c>
      <c r="F47" s="315">
        <f t="shared" si="7"/>
        <v>0.22864759</v>
      </c>
      <c r="G47" s="223">
        <f t="shared" si="1"/>
        <v>0.128787009</v>
      </c>
    </row>
    <row r="48">
      <c r="A48" s="296" t="s">
        <v>67</v>
      </c>
      <c r="B48" s="296" t="s">
        <v>115</v>
      </c>
      <c r="C48" s="368">
        <v>0.256700895</v>
      </c>
      <c r="D48" s="369">
        <v>0.169919882</v>
      </c>
      <c r="E48" s="370">
        <v>0.258889131</v>
      </c>
      <c r="F48" s="371">
        <v>0.2285033027</v>
      </c>
      <c r="G48" s="223">
        <f t="shared" si="1"/>
        <v>0.088969249</v>
      </c>
    </row>
    <row r="49">
      <c r="A49" s="223" t="s">
        <v>49</v>
      </c>
      <c r="B49" s="223" t="s">
        <v>270</v>
      </c>
      <c r="C49" s="372">
        <v>0.260242326</v>
      </c>
      <c r="D49" s="373">
        <v>0.201577825</v>
      </c>
      <c r="E49" s="374">
        <v>0.217215734</v>
      </c>
      <c r="F49" s="375">
        <f t="shared" ref="F49:F60" si="8">AVERAGE(ABS(C49),ABS(D49),ABS(E49))</f>
        <v>0.226345295</v>
      </c>
      <c r="G49" s="223">
        <f t="shared" si="1"/>
        <v>0.058664501</v>
      </c>
    </row>
    <row r="50">
      <c r="A50" s="223" t="s">
        <v>40</v>
      </c>
      <c r="B50" s="223" t="s">
        <v>270</v>
      </c>
      <c r="C50" s="376">
        <v>0.239878127</v>
      </c>
      <c r="D50" s="377">
        <v>0.198048417</v>
      </c>
      <c r="E50" s="376">
        <v>0.2391071</v>
      </c>
      <c r="F50" s="375">
        <f t="shared" si="8"/>
        <v>0.2256778813</v>
      </c>
      <c r="G50" s="223">
        <f t="shared" si="1"/>
        <v>0.04182971</v>
      </c>
    </row>
    <row r="51">
      <c r="A51" s="223" t="s">
        <v>30</v>
      </c>
      <c r="B51" s="223" t="s">
        <v>268</v>
      </c>
      <c r="C51" s="308">
        <v>0.250490987</v>
      </c>
      <c r="D51" s="372">
        <v>0.262869006</v>
      </c>
      <c r="E51" s="367">
        <v>0.149292128</v>
      </c>
      <c r="F51" s="311">
        <f t="shared" si="8"/>
        <v>0.2208840403</v>
      </c>
      <c r="G51" s="223">
        <f t="shared" si="1"/>
        <v>0.113576878</v>
      </c>
    </row>
    <row r="52">
      <c r="A52" s="223" t="s">
        <v>59</v>
      </c>
      <c r="B52" s="223" t="s">
        <v>270</v>
      </c>
      <c r="C52" s="310">
        <v>0.283625073</v>
      </c>
      <c r="D52" s="378">
        <v>0.137130504</v>
      </c>
      <c r="E52" s="375">
        <v>0.226462093</v>
      </c>
      <c r="F52" s="379">
        <f t="shared" si="8"/>
        <v>0.2157392233</v>
      </c>
      <c r="G52" s="223">
        <f t="shared" si="1"/>
        <v>0.146494569</v>
      </c>
    </row>
    <row r="53">
      <c r="A53" s="223" t="s">
        <v>115</v>
      </c>
      <c r="B53" s="223" t="s">
        <v>90</v>
      </c>
      <c r="C53" s="380">
        <v>-0.194810846</v>
      </c>
      <c r="D53" s="381">
        <v>-0.185676461</v>
      </c>
      <c r="E53" s="382">
        <v>-0.26070814</v>
      </c>
      <c r="F53" s="383">
        <f t="shared" si="8"/>
        <v>0.2137318157</v>
      </c>
      <c r="G53" s="223">
        <f t="shared" si="1"/>
        <v>0.075031679</v>
      </c>
    </row>
    <row r="54">
      <c r="A54" s="223" t="s">
        <v>84</v>
      </c>
      <c r="B54" s="223" t="s">
        <v>270</v>
      </c>
      <c r="C54" s="384">
        <v>-0.21607733</v>
      </c>
      <c r="D54" s="384">
        <v>-0.222916587</v>
      </c>
      <c r="E54" s="385">
        <v>-0.19884789</v>
      </c>
      <c r="F54" s="348">
        <f t="shared" si="8"/>
        <v>0.2126139357</v>
      </c>
      <c r="G54" s="223">
        <f t="shared" si="1"/>
        <v>0.024068697</v>
      </c>
    </row>
    <row r="55">
      <c r="A55" s="223" t="s">
        <v>97</v>
      </c>
      <c r="B55" s="223" t="s">
        <v>79</v>
      </c>
      <c r="C55" s="386">
        <v>-0.262408371</v>
      </c>
      <c r="D55" s="387">
        <v>-0.108154494</v>
      </c>
      <c r="E55" s="386">
        <v>-0.26551046</v>
      </c>
      <c r="F55" s="388">
        <f t="shared" si="8"/>
        <v>0.2120244417</v>
      </c>
      <c r="G55" s="223">
        <f t="shared" si="1"/>
        <v>0.157355966</v>
      </c>
    </row>
    <row r="56">
      <c r="A56" s="223" t="s">
        <v>111</v>
      </c>
      <c r="B56" s="223" t="s">
        <v>265</v>
      </c>
      <c r="C56" s="384">
        <v>-0.215902669</v>
      </c>
      <c r="D56" s="389">
        <v>-0.157821266</v>
      </c>
      <c r="E56" s="317">
        <v>-0.253599781</v>
      </c>
      <c r="F56" s="390">
        <f t="shared" si="8"/>
        <v>0.2091079053</v>
      </c>
      <c r="G56" s="223">
        <f t="shared" si="1"/>
        <v>0.095778515</v>
      </c>
    </row>
    <row r="57">
      <c r="A57" s="223" t="s">
        <v>265</v>
      </c>
      <c r="B57" s="223" t="s">
        <v>84</v>
      </c>
      <c r="C57" s="358">
        <v>0.226972011</v>
      </c>
      <c r="D57" s="391">
        <v>0.234390377</v>
      </c>
      <c r="E57" s="392">
        <v>0.164309474</v>
      </c>
      <c r="F57" s="351">
        <f t="shared" si="8"/>
        <v>0.2085572873</v>
      </c>
      <c r="G57" s="223">
        <f t="shared" si="1"/>
        <v>0.070080903</v>
      </c>
    </row>
    <row r="58">
      <c r="A58" s="223" t="s">
        <v>59</v>
      </c>
      <c r="B58" s="223" t="s">
        <v>54</v>
      </c>
      <c r="C58" s="393">
        <v>-0.213108326</v>
      </c>
      <c r="D58" s="394">
        <v>-0.235334205</v>
      </c>
      <c r="E58" s="395">
        <v>-0.170948084</v>
      </c>
      <c r="F58" s="396">
        <f t="shared" si="8"/>
        <v>0.2064635383</v>
      </c>
      <c r="G58" s="223">
        <f t="shared" si="1"/>
        <v>0.064386121</v>
      </c>
    </row>
    <row r="59">
      <c r="A59" s="223" t="s">
        <v>44</v>
      </c>
      <c r="B59" s="223" t="s">
        <v>268</v>
      </c>
      <c r="C59" s="310">
        <v>0.285459376</v>
      </c>
      <c r="D59" s="373">
        <v>0.201498619</v>
      </c>
      <c r="E59" s="397">
        <v>0.131610087</v>
      </c>
      <c r="F59" s="398">
        <f t="shared" si="8"/>
        <v>0.2061893607</v>
      </c>
      <c r="G59" s="223">
        <f t="shared" si="1"/>
        <v>0.153849289</v>
      </c>
    </row>
    <row r="60">
      <c r="A60" s="223" t="s">
        <v>59</v>
      </c>
      <c r="B60" s="223" t="s">
        <v>40</v>
      </c>
      <c r="C60" s="399">
        <v>0.187461746</v>
      </c>
      <c r="D60" s="352">
        <v>0.302952978</v>
      </c>
      <c r="E60" s="400">
        <v>0.123190007</v>
      </c>
      <c r="F60" s="401">
        <f t="shared" si="8"/>
        <v>0.2045349103</v>
      </c>
      <c r="G60" s="223">
        <f t="shared" si="1"/>
        <v>0.179762971</v>
      </c>
    </row>
    <row r="61">
      <c r="A61" s="223" t="s">
        <v>79</v>
      </c>
      <c r="B61" s="223" t="s">
        <v>270</v>
      </c>
      <c r="C61" s="402">
        <v>0.241267851</v>
      </c>
      <c r="D61" s="403">
        <v>0.140466325</v>
      </c>
      <c r="E61" s="404">
        <v>0.226449437</v>
      </c>
      <c r="F61" s="405">
        <v>0.202727871</v>
      </c>
      <c r="G61" s="223">
        <f t="shared" si="1"/>
        <v>0.100801526</v>
      </c>
    </row>
    <row r="62">
      <c r="A62" s="223" t="s">
        <v>49</v>
      </c>
      <c r="B62" s="223" t="s">
        <v>7</v>
      </c>
      <c r="C62" s="383">
        <v>0.215202798</v>
      </c>
      <c r="D62" s="406">
        <v>0.185360401</v>
      </c>
      <c r="E62" s="401">
        <v>0.204244073</v>
      </c>
      <c r="F62" s="401">
        <f>AVERAGE(ABS(C62),ABS(D62),ABS(E62))</f>
        <v>0.201602424</v>
      </c>
      <c r="G62" s="223">
        <f t="shared" si="1"/>
        <v>0.029842397</v>
      </c>
    </row>
    <row r="63">
      <c r="A63" s="223" t="s">
        <v>59</v>
      </c>
      <c r="B63" s="223" t="s">
        <v>79</v>
      </c>
      <c r="C63" s="407">
        <v>0.197005296</v>
      </c>
      <c r="D63" s="408">
        <v>0.247526726</v>
      </c>
      <c r="E63" s="409">
        <v>0.150096377</v>
      </c>
      <c r="F63" s="410">
        <v>0.1982094663</v>
      </c>
      <c r="G63" s="223">
        <f t="shared" si="1"/>
        <v>0.097430349</v>
      </c>
    </row>
    <row r="64">
      <c r="A64" s="218" t="s">
        <v>67</v>
      </c>
      <c r="B64" s="218" t="s">
        <v>40</v>
      </c>
      <c r="C64" s="411">
        <v>-0.129707664</v>
      </c>
      <c r="D64" s="412">
        <v>-0.259880317</v>
      </c>
      <c r="E64" s="413">
        <v>-0.20481674</v>
      </c>
      <c r="F64" s="414">
        <v>0.198134907</v>
      </c>
      <c r="G64" s="223">
        <f t="shared" si="1"/>
        <v>0.130172653</v>
      </c>
    </row>
    <row r="65">
      <c r="A65" s="223" t="s">
        <v>54</v>
      </c>
      <c r="B65" s="296" t="s">
        <v>18</v>
      </c>
      <c r="C65" s="415">
        <v>0.196578268</v>
      </c>
      <c r="D65" s="416">
        <v>0.060971203</v>
      </c>
      <c r="E65" s="300">
        <v>0.293395028</v>
      </c>
      <c r="F65" s="417">
        <f t="shared" ref="F65:F76" si="9">AVERAGE(ABS(C65),ABS(D65),ABS(E65))</f>
        <v>0.1836481663</v>
      </c>
      <c r="G65" s="223">
        <f t="shared" si="1"/>
        <v>0.232423825</v>
      </c>
    </row>
    <row r="66">
      <c r="A66" s="223" t="s">
        <v>269</v>
      </c>
      <c r="B66" s="223" t="s">
        <v>44</v>
      </c>
      <c r="C66" s="349">
        <v>0.241517980412346</v>
      </c>
      <c r="D66" s="349">
        <v>0.159463049437245</v>
      </c>
      <c r="E66" s="349">
        <v>0.126879029513463</v>
      </c>
      <c r="F66" s="349">
        <f t="shared" si="9"/>
        <v>0.1759533531</v>
      </c>
      <c r="G66" s="223">
        <f t="shared" si="1"/>
        <v>0.1146389509</v>
      </c>
    </row>
    <row r="67">
      <c r="A67" s="223" t="s">
        <v>111</v>
      </c>
      <c r="B67" s="223" t="s">
        <v>49</v>
      </c>
      <c r="C67" s="378">
        <v>0.134506065</v>
      </c>
      <c r="D67" s="418">
        <v>0.182239478</v>
      </c>
      <c r="E67" s="367">
        <v>0.147505401</v>
      </c>
      <c r="F67" s="419">
        <f t="shared" si="9"/>
        <v>0.1547503147</v>
      </c>
      <c r="G67" s="223">
        <f t="shared" si="1"/>
        <v>0.047733413</v>
      </c>
    </row>
    <row r="68">
      <c r="A68" s="218" t="s">
        <v>270</v>
      </c>
      <c r="B68" s="218" t="s">
        <v>44</v>
      </c>
      <c r="C68" s="295">
        <v>0.148827379</v>
      </c>
      <c r="D68" s="332">
        <v>0.121416845</v>
      </c>
      <c r="E68" s="378">
        <v>0.059631086</v>
      </c>
      <c r="F68" s="330">
        <f t="shared" si="9"/>
        <v>0.1099584367</v>
      </c>
      <c r="G68" s="223">
        <f t="shared" si="1"/>
        <v>0.089196293</v>
      </c>
    </row>
    <row r="69">
      <c r="A69" s="223" t="s">
        <v>262</v>
      </c>
      <c r="B69" s="223" t="s">
        <v>54</v>
      </c>
      <c r="C69" s="420">
        <v>0.09821186</v>
      </c>
      <c r="D69" s="421">
        <v>0.032439455</v>
      </c>
      <c r="E69" s="422">
        <v>0.124318578</v>
      </c>
      <c r="F69" s="423">
        <f t="shared" si="9"/>
        <v>0.08498996433</v>
      </c>
      <c r="G69" s="223">
        <f t="shared" si="1"/>
        <v>0.091879123</v>
      </c>
    </row>
    <row r="70">
      <c r="A70" s="223" t="s">
        <v>115</v>
      </c>
      <c r="B70" s="223" t="s">
        <v>49</v>
      </c>
      <c r="C70" s="424">
        <v>0.117537147</v>
      </c>
      <c r="D70" s="425">
        <v>0.083846295</v>
      </c>
      <c r="E70" s="426">
        <v>-0.010825469</v>
      </c>
      <c r="F70" s="427">
        <f t="shared" si="9"/>
        <v>0.07073630367</v>
      </c>
      <c r="G70" s="223">
        <f t="shared" si="1"/>
        <v>0.128362616</v>
      </c>
    </row>
    <row r="71">
      <c r="A71" s="296" t="s">
        <v>263</v>
      </c>
      <c r="B71" s="296" t="s">
        <v>54</v>
      </c>
      <c r="C71" s="428">
        <v>-0.085082678</v>
      </c>
      <c r="D71" s="429">
        <v>-0.045450642</v>
      </c>
      <c r="E71" s="385">
        <v>-0.081033366</v>
      </c>
      <c r="F71" s="430">
        <f t="shared" si="9"/>
        <v>0.07052222867</v>
      </c>
      <c r="G71" s="223">
        <f t="shared" si="1"/>
        <v>0.039632036</v>
      </c>
    </row>
    <row r="72">
      <c r="A72" s="223" t="s">
        <v>115</v>
      </c>
      <c r="B72" s="223" t="s">
        <v>44</v>
      </c>
      <c r="C72" s="431">
        <v>0.036955131</v>
      </c>
      <c r="D72" s="432">
        <v>0.014056579</v>
      </c>
      <c r="E72" s="433">
        <v>-0.129267614</v>
      </c>
      <c r="F72" s="416">
        <f t="shared" si="9"/>
        <v>0.060093108</v>
      </c>
      <c r="G72" s="223">
        <f t="shared" si="1"/>
        <v>0.166222745</v>
      </c>
    </row>
    <row r="73">
      <c r="A73" s="296" t="s">
        <v>264</v>
      </c>
      <c r="B73" s="296" t="s">
        <v>54</v>
      </c>
      <c r="C73" s="434">
        <v>0.037981697</v>
      </c>
      <c r="D73" s="435">
        <v>0.061087106</v>
      </c>
      <c r="E73" s="434">
        <v>0.038938981</v>
      </c>
      <c r="F73" s="436">
        <f t="shared" si="9"/>
        <v>0.04600259467</v>
      </c>
      <c r="G73" s="223">
        <f t="shared" si="1"/>
        <v>0.023105409</v>
      </c>
    </row>
    <row r="74">
      <c r="A74" s="223" t="s">
        <v>111</v>
      </c>
      <c r="B74" s="223" t="s">
        <v>44</v>
      </c>
      <c r="C74" s="437">
        <v>0.034515305</v>
      </c>
      <c r="D74" s="438">
        <v>0.078640736</v>
      </c>
      <c r="E74" s="426">
        <v>-0.010076285</v>
      </c>
      <c r="F74" s="439">
        <f t="shared" si="9"/>
        <v>0.041077442</v>
      </c>
      <c r="G74" s="223">
        <f t="shared" si="1"/>
        <v>0.088717021</v>
      </c>
    </row>
    <row r="75">
      <c r="A75" s="440" t="s">
        <v>7</v>
      </c>
      <c r="B75" s="440" t="s">
        <v>54</v>
      </c>
      <c r="C75" s="441">
        <v>0.028046904</v>
      </c>
      <c r="D75" s="442">
        <v>0.007360116</v>
      </c>
      <c r="E75" s="367">
        <v>0.065580306</v>
      </c>
      <c r="F75" s="443">
        <f t="shared" si="9"/>
        <v>0.033662442</v>
      </c>
      <c r="G75" s="223">
        <f t="shared" si="1"/>
        <v>0.05822019</v>
      </c>
    </row>
    <row r="76">
      <c r="A76" s="440" t="s">
        <v>265</v>
      </c>
      <c r="B76" s="440" t="s">
        <v>54</v>
      </c>
      <c r="C76" s="444">
        <v>0.031745182</v>
      </c>
      <c r="D76" s="439">
        <v>0.01839426</v>
      </c>
      <c r="E76" s="437">
        <v>0.015081753</v>
      </c>
      <c r="F76" s="445">
        <f t="shared" si="9"/>
        <v>0.02174039833</v>
      </c>
      <c r="G76" s="223">
        <f t="shared" si="1"/>
        <v>0.016663429</v>
      </c>
    </row>
    <row r="77">
      <c r="A77" s="446" t="s">
        <v>282</v>
      </c>
    </row>
    <row r="86">
      <c r="A86" s="447"/>
      <c r="G86" s="448"/>
    </row>
    <row r="87">
      <c r="A87" s="447"/>
      <c r="B87" s="3"/>
      <c r="G87" s="448"/>
    </row>
    <row r="88">
      <c r="A88" s="447"/>
      <c r="B88" s="3"/>
      <c r="G88" s="448"/>
    </row>
    <row r="89">
      <c r="A89" s="447"/>
      <c r="B89" s="3"/>
      <c r="G89" s="448"/>
    </row>
    <row r="90">
      <c r="A90" s="447"/>
      <c r="B90" s="3"/>
      <c r="G90" s="448"/>
    </row>
    <row r="91">
      <c r="A91" s="447"/>
      <c r="B91" s="3"/>
      <c r="G91" s="448"/>
    </row>
    <row r="92">
      <c r="A92" s="447"/>
      <c r="B92" s="3"/>
      <c r="G92" s="448"/>
    </row>
    <row r="93">
      <c r="A93" s="447"/>
      <c r="B93" s="3"/>
      <c r="G93" s="448"/>
    </row>
    <row r="94">
      <c r="A94" s="447"/>
      <c r="B94" s="3"/>
      <c r="G94" s="448"/>
    </row>
    <row r="95">
      <c r="A95" s="447"/>
      <c r="B95" s="3"/>
      <c r="G95" s="448"/>
    </row>
    <row r="96">
      <c r="A96" s="447"/>
      <c r="B96" s="3"/>
      <c r="G96" s="448"/>
    </row>
    <row r="97">
      <c r="A97" s="447"/>
      <c r="G97" s="448"/>
    </row>
    <row r="98">
      <c r="A98" s="447"/>
      <c r="B98" s="3"/>
      <c r="G98" s="448"/>
    </row>
    <row r="99">
      <c r="A99" s="447"/>
      <c r="G99" s="448"/>
    </row>
    <row r="100">
      <c r="A100" s="447"/>
      <c r="G100" s="448"/>
    </row>
    <row r="101">
      <c r="G101" s="448"/>
    </row>
    <row r="102">
      <c r="A102" s="447"/>
      <c r="G102" s="448"/>
    </row>
    <row r="103">
      <c r="A103" s="447"/>
      <c r="G103" s="448"/>
    </row>
    <row r="104">
      <c r="A104" s="447"/>
      <c r="G104" s="448"/>
    </row>
    <row r="105">
      <c r="A105" s="447"/>
      <c r="G105" s="448"/>
    </row>
    <row r="106">
      <c r="G106" s="448"/>
    </row>
    <row r="107">
      <c r="G107" s="448"/>
    </row>
    <row r="108">
      <c r="G108" s="448"/>
    </row>
    <row r="109">
      <c r="G109" s="448"/>
    </row>
    <row r="110">
      <c r="G110" s="448"/>
    </row>
    <row r="111">
      <c r="G111" s="448"/>
    </row>
    <row r="112">
      <c r="G112" s="448"/>
    </row>
    <row r="113">
      <c r="G113" s="448"/>
    </row>
    <row r="114">
      <c r="G114" s="448"/>
    </row>
    <row r="115">
      <c r="G115" s="448"/>
    </row>
    <row r="116">
      <c r="G116" s="448"/>
    </row>
    <row r="117">
      <c r="G117" s="448"/>
    </row>
    <row r="118">
      <c r="G118" s="448"/>
    </row>
    <row r="119">
      <c r="G119" s="448"/>
    </row>
    <row r="120">
      <c r="G120" s="448"/>
    </row>
    <row r="121">
      <c r="G121" s="448"/>
    </row>
    <row r="122">
      <c r="G122" s="448"/>
    </row>
    <row r="123">
      <c r="G123" s="448"/>
    </row>
    <row r="124">
      <c r="G124" s="448"/>
    </row>
    <row r="125">
      <c r="G125" s="448"/>
    </row>
    <row r="126">
      <c r="G126" s="448"/>
    </row>
    <row r="127">
      <c r="G127" s="448"/>
    </row>
    <row r="128">
      <c r="G128" s="448"/>
    </row>
    <row r="129">
      <c r="G129" s="448"/>
    </row>
    <row r="130">
      <c r="G130" s="448"/>
    </row>
    <row r="131">
      <c r="G131" s="448"/>
    </row>
    <row r="132">
      <c r="G132" s="448"/>
    </row>
    <row r="133">
      <c r="G133" s="448"/>
    </row>
    <row r="134">
      <c r="G134" s="448"/>
    </row>
    <row r="135">
      <c r="G135" s="448"/>
    </row>
    <row r="136">
      <c r="G136" s="448"/>
    </row>
    <row r="137">
      <c r="G137" s="448"/>
    </row>
    <row r="138">
      <c r="G138" s="448"/>
    </row>
    <row r="139">
      <c r="G139" s="448"/>
    </row>
    <row r="140">
      <c r="G140" s="448"/>
    </row>
    <row r="141">
      <c r="G141" s="448"/>
    </row>
    <row r="142">
      <c r="G142" s="448"/>
    </row>
    <row r="143">
      <c r="G143" s="448"/>
    </row>
    <row r="144">
      <c r="G144" s="448"/>
    </row>
    <row r="145">
      <c r="G145" s="448"/>
    </row>
    <row r="146">
      <c r="G146" s="448"/>
    </row>
    <row r="147">
      <c r="G147" s="448"/>
    </row>
    <row r="148">
      <c r="G148" s="448"/>
    </row>
    <row r="149">
      <c r="G149" s="448"/>
    </row>
    <row r="150">
      <c r="G150" s="448"/>
    </row>
    <row r="151">
      <c r="G151" s="448"/>
    </row>
    <row r="152">
      <c r="G152" s="448"/>
    </row>
    <row r="153">
      <c r="G153" s="448"/>
    </row>
    <row r="154">
      <c r="G154" s="448"/>
    </row>
    <row r="155">
      <c r="G155" s="448"/>
    </row>
    <row r="156">
      <c r="G156" s="448"/>
    </row>
    <row r="157">
      <c r="G157" s="448"/>
    </row>
    <row r="158">
      <c r="G158" s="448"/>
    </row>
    <row r="159">
      <c r="G159" s="448"/>
    </row>
    <row r="160">
      <c r="G160" s="448"/>
    </row>
    <row r="161">
      <c r="G161" s="448"/>
    </row>
    <row r="162">
      <c r="G162" s="448"/>
    </row>
    <row r="163">
      <c r="G163" s="448"/>
    </row>
    <row r="164">
      <c r="G164" s="448"/>
    </row>
    <row r="165">
      <c r="G165" s="448"/>
    </row>
    <row r="166">
      <c r="G166" s="448"/>
    </row>
    <row r="167">
      <c r="G167" s="448"/>
    </row>
    <row r="168">
      <c r="G168" s="448"/>
    </row>
    <row r="169">
      <c r="G169" s="448"/>
    </row>
    <row r="170">
      <c r="G170" s="448"/>
    </row>
    <row r="171">
      <c r="G171" s="448"/>
    </row>
    <row r="172">
      <c r="G172" s="448"/>
    </row>
    <row r="173">
      <c r="G173" s="448"/>
    </row>
    <row r="174">
      <c r="G174" s="448"/>
    </row>
    <row r="175">
      <c r="G175" s="448"/>
    </row>
    <row r="176">
      <c r="G176" s="448"/>
    </row>
    <row r="177">
      <c r="G177" s="448"/>
    </row>
    <row r="178">
      <c r="G178" s="448"/>
    </row>
    <row r="179">
      <c r="G179" s="448"/>
    </row>
    <row r="180">
      <c r="G180" s="448"/>
    </row>
    <row r="181">
      <c r="G181" s="448"/>
    </row>
    <row r="182">
      <c r="G182" s="448"/>
    </row>
    <row r="183">
      <c r="G183" s="448"/>
    </row>
    <row r="184">
      <c r="G184" s="448"/>
    </row>
    <row r="185">
      <c r="G185" s="448"/>
    </row>
    <row r="186">
      <c r="G186" s="448"/>
    </row>
    <row r="187">
      <c r="G187" s="448"/>
    </row>
    <row r="188">
      <c r="G188" s="448"/>
    </row>
    <row r="189">
      <c r="G189" s="448"/>
    </row>
    <row r="190">
      <c r="G190" s="448"/>
    </row>
    <row r="191">
      <c r="G191" s="448"/>
    </row>
    <row r="192">
      <c r="G192" s="448"/>
    </row>
    <row r="193">
      <c r="G193" s="448"/>
    </row>
    <row r="194">
      <c r="G194" s="448"/>
    </row>
    <row r="195">
      <c r="G195" s="448"/>
    </row>
    <row r="196">
      <c r="G196" s="448"/>
    </row>
    <row r="197">
      <c r="G197" s="448"/>
    </row>
    <row r="198">
      <c r="G198" s="448"/>
    </row>
    <row r="199">
      <c r="G199" s="448"/>
    </row>
    <row r="200">
      <c r="G200" s="448"/>
    </row>
    <row r="201">
      <c r="G201" s="448"/>
    </row>
    <row r="202">
      <c r="G202" s="448"/>
    </row>
    <row r="203">
      <c r="G203" s="448"/>
    </row>
    <row r="204">
      <c r="G204" s="448"/>
    </row>
    <row r="205">
      <c r="G205" s="448"/>
    </row>
    <row r="206">
      <c r="G206" s="448"/>
    </row>
    <row r="207">
      <c r="G207" s="448"/>
    </row>
    <row r="208">
      <c r="G208" s="448"/>
    </row>
    <row r="209">
      <c r="G209" s="448"/>
    </row>
    <row r="210">
      <c r="G210" s="448"/>
    </row>
    <row r="211">
      <c r="G211" s="448"/>
    </row>
    <row r="212">
      <c r="G212" s="448"/>
    </row>
    <row r="213">
      <c r="G213" s="448"/>
    </row>
    <row r="214">
      <c r="G214" s="448"/>
    </row>
    <row r="215">
      <c r="G215" s="448"/>
    </row>
    <row r="216">
      <c r="G216" s="448"/>
    </row>
    <row r="217">
      <c r="G217" s="448"/>
    </row>
    <row r="218">
      <c r="G218" s="448"/>
    </row>
    <row r="219">
      <c r="G219" s="448"/>
    </row>
    <row r="220">
      <c r="G220" s="448"/>
    </row>
    <row r="221">
      <c r="G221" s="448"/>
    </row>
    <row r="222">
      <c r="G222" s="448"/>
    </row>
    <row r="223">
      <c r="G223" s="448"/>
    </row>
    <row r="224">
      <c r="G224" s="448"/>
    </row>
    <row r="225">
      <c r="G225" s="448"/>
    </row>
    <row r="226">
      <c r="G226" s="448"/>
    </row>
    <row r="227">
      <c r="G227" s="448"/>
    </row>
    <row r="228">
      <c r="G228" s="448"/>
    </row>
    <row r="229">
      <c r="G229" s="448"/>
    </row>
    <row r="230">
      <c r="G230" s="448"/>
    </row>
    <row r="231">
      <c r="G231" s="448"/>
    </row>
    <row r="232">
      <c r="G232" s="448"/>
    </row>
    <row r="233">
      <c r="G233" s="448"/>
    </row>
    <row r="234">
      <c r="G234" s="448"/>
    </row>
    <row r="235">
      <c r="G235" s="448"/>
    </row>
    <row r="236">
      <c r="G236" s="448"/>
    </row>
    <row r="237">
      <c r="G237" s="448"/>
    </row>
    <row r="238">
      <c r="G238" s="448"/>
    </row>
    <row r="239">
      <c r="G239" s="448"/>
    </row>
    <row r="240">
      <c r="G240" s="448"/>
    </row>
    <row r="241">
      <c r="G241" s="448"/>
    </row>
    <row r="242">
      <c r="G242" s="448"/>
    </row>
    <row r="243">
      <c r="G243" s="448"/>
    </row>
    <row r="244">
      <c r="G244" s="448"/>
    </row>
    <row r="245">
      <c r="G245" s="448"/>
    </row>
    <row r="246">
      <c r="G246" s="448"/>
    </row>
    <row r="247">
      <c r="G247" s="448"/>
    </row>
    <row r="248">
      <c r="G248" s="448"/>
    </row>
    <row r="249">
      <c r="G249" s="448"/>
    </row>
    <row r="250">
      <c r="G250" s="448"/>
    </row>
    <row r="251">
      <c r="G251" s="448"/>
    </row>
    <row r="252">
      <c r="G252" s="448"/>
    </row>
    <row r="253">
      <c r="G253" s="448"/>
    </row>
    <row r="254">
      <c r="G254" s="448"/>
    </row>
    <row r="255">
      <c r="G255" s="448"/>
    </row>
    <row r="256">
      <c r="G256" s="448"/>
    </row>
    <row r="257">
      <c r="G257" s="448"/>
    </row>
    <row r="258">
      <c r="G258" s="448"/>
    </row>
    <row r="259">
      <c r="G259" s="448"/>
    </row>
    <row r="260">
      <c r="G260" s="448"/>
    </row>
    <row r="261">
      <c r="G261" s="448"/>
    </row>
    <row r="262">
      <c r="G262" s="448"/>
    </row>
    <row r="263">
      <c r="G263" s="448"/>
    </row>
    <row r="264">
      <c r="G264" s="448"/>
    </row>
    <row r="265">
      <c r="G265" s="448"/>
    </row>
    <row r="266">
      <c r="G266" s="448"/>
    </row>
    <row r="267">
      <c r="G267" s="448"/>
    </row>
    <row r="268">
      <c r="G268" s="448"/>
    </row>
    <row r="269">
      <c r="G269" s="448"/>
    </row>
    <row r="270">
      <c r="G270" s="448"/>
    </row>
    <row r="271">
      <c r="G271" s="448"/>
    </row>
    <row r="272">
      <c r="G272" s="448"/>
    </row>
    <row r="273">
      <c r="G273" s="448"/>
    </row>
    <row r="274">
      <c r="G274" s="448"/>
    </row>
    <row r="275">
      <c r="G275" s="448"/>
    </row>
    <row r="276">
      <c r="G276" s="448"/>
    </row>
    <row r="277">
      <c r="G277" s="448"/>
    </row>
    <row r="278">
      <c r="G278" s="448"/>
    </row>
    <row r="279">
      <c r="G279" s="448"/>
    </row>
    <row r="280">
      <c r="G280" s="448"/>
    </row>
    <row r="281">
      <c r="G281" s="448"/>
    </row>
    <row r="282">
      <c r="G282" s="448"/>
    </row>
    <row r="283">
      <c r="G283" s="448"/>
    </row>
    <row r="284">
      <c r="G284" s="448"/>
    </row>
    <row r="285">
      <c r="G285" s="448"/>
    </row>
    <row r="286">
      <c r="G286" s="448"/>
    </row>
    <row r="287">
      <c r="G287" s="448"/>
    </row>
    <row r="288">
      <c r="G288" s="448"/>
    </row>
    <row r="289">
      <c r="G289" s="448"/>
    </row>
    <row r="290">
      <c r="G290" s="448"/>
    </row>
    <row r="291">
      <c r="G291" s="448"/>
    </row>
    <row r="292">
      <c r="G292" s="448"/>
    </row>
    <row r="293">
      <c r="G293" s="448"/>
    </row>
    <row r="294">
      <c r="G294" s="448"/>
    </row>
    <row r="295">
      <c r="G295" s="448"/>
    </row>
    <row r="296">
      <c r="G296" s="448"/>
    </row>
    <row r="297">
      <c r="G297" s="448"/>
    </row>
    <row r="298">
      <c r="G298" s="448"/>
    </row>
    <row r="299">
      <c r="G299" s="448"/>
    </row>
    <row r="300">
      <c r="G300" s="448"/>
    </row>
    <row r="301">
      <c r="G301" s="448"/>
    </row>
    <row r="302">
      <c r="G302" s="448"/>
    </row>
    <row r="303">
      <c r="G303" s="448"/>
    </row>
    <row r="304">
      <c r="G304" s="448"/>
    </row>
    <row r="305">
      <c r="G305" s="448"/>
    </row>
    <row r="306">
      <c r="G306" s="448"/>
    </row>
    <row r="307">
      <c r="G307" s="448"/>
    </row>
    <row r="308">
      <c r="G308" s="448"/>
    </row>
    <row r="309">
      <c r="G309" s="448"/>
    </row>
    <row r="310">
      <c r="G310" s="448"/>
    </row>
    <row r="311">
      <c r="G311" s="448"/>
    </row>
    <row r="312">
      <c r="G312" s="448"/>
    </row>
    <row r="313">
      <c r="G313" s="448"/>
    </row>
    <row r="314">
      <c r="G314" s="448"/>
    </row>
    <row r="315">
      <c r="G315" s="448"/>
    </row>
    <row r="316">
      <c r="G316" s="448"/>
    </row>
    <row r="317">
      <c r="G317" s="448"/>
    </row>
    <row r="318">
      <c r="G318" s="448"/>
    </row>
    <row r="319">
      <c r="G319" s="448"/>
    </row>
    <row r="320">
      <c r="G320" s="448"/>
    </row>
    <row r="321">
      <c r="G321" s="448"/>
    </row>
    <row r="322">
      <c r="G322" s="448"/>
    </row>
    <row r="323">
      <c r="G323" s="448"/>
    </row>
    <row r="324">
      <c r="G324" s="448"/>
    </row>
    <row r="325">
      <c r="G325" s="448"/>
    </row>
    <row r="326">
      <c r="G326" s="448"/>
    </row>
    <row r="327">
      <c r="G327" s="448"/>
    </row>
    <row r="328">
      <c r="G328" s="448"/>
    </row>
    <row r="329">
      <c r="G329" s="448"/>
    </row>
    <row r="330">
      <c r="G330" s="448"/>
    </row>
    <row r="331">
      <c r="G331" s="448"/>
    </row>
    <row r="332">
      <c r="G332" s="448"/>
    </row>
    <row r="333">
      <c r="G333" s="448"/>
    </row>
    <row r="334">
      <c r="G334" s="448"/>
    </row>
    <row r="335">
      <c r="G335" s="448"/>
    </row>
    <row r="336">
      <c r="G336" s="448"/>
    </row>
    <row r="337">
      <c r="G337" s="448"/>
    </row>
    <row r="338">
      <c r="G338" s="448"/>
    </row>
    <row r="339">
      <c r="G339" s="448"/>
    </row>
    <row r="340">
      <c r="G340" s="448"/>
    </row>
    <row r="341">
      <c r="G341" s="448"/>
    </row>
    <row r="342">
      <c r="G342" s="448"/>
    </row>
    <row r="343">
      <c r="G343" s="448"/>
    </row>
    <row r="344">
      <c r="G344" s="448"/>
    </row>
    <row r="345">
      <c r="G345" s="448"/>
    </row>
    <row r="346">
      <c r="G346" s="448"/>
    </row>
    <row r="347">
      <c r="G347" s="448"/>
    </row>
    <row r="348">
      <c r="G348" s="448"/>
    </row>
    <row r="349">
      <c r="G349" s="448"/>
    </row>
    <row r="350">
      <c r="G350" s="448"/>
    </row>
    <row r="351">
      <c r="G351" s="448"/>
    </row>
    <row r="352">
      <c r="G352" s="448"/>
    </row>
    <row r="353">
      <c r="G353" s="448"/>
    </row>
    <row r="354">
      <c r="G354" s="448"/>
    </row>
    <row r="355">
      <c r="G355" s="448"/>
    </row>
    <row r="356">
      <c r="G356" s="448"/>
    </row>
    <row r="357">
      <c r="G357" s="448"/>
    </row>
    <row r="358">
      <c r="G358" s="448"/>
    </row>
    <row r="359">
      <c r="G359" s="448"/>
    </row>
    <row r="360">
      <c r="G360" s="448"/>
    </row>
    <row r="361">
      <c r="G361" s="448"/>
    </row>
    <row r="362">
      <c r="G362" s="448"/>
    </row>
    <row r="363">
      <c r="G363" s="448"/>
    </row>
    <row r="364">
      <c r="G364" s="448"/>
    </row>
    <row r="365">
      <c r="G365" s="448"/>
    </row>
    <row r="366">
      <c r="G366" s="448"/>
    </row>
    <row r="367">
      <c r="G367" s="448"/>
    </row>
    <row r="368">
      <c r="G368" s="448"/>
    </row>
    <row r="369">
      <c r="G369" s="448"/>
    </row>
    <row r="370">
      <c r="G370" s="448"/>
    </row>
    <row r="371">
      <c r="G371" s="448"/>
    </row>
    <row r="372">
      <c r="G372" s="448"/>
    </row>
    <row r="373">
      <c r="G373" s="448"/>
    </row>
    <row r="374">
      <c r="G374" s="448"/>
    </row>
    <row r="375">
      <c r="G375" s="448"/>
    </row>
    <row r="376">
      <c r="G376" s="448"/>
    </row>
    <row r="377">
      <c r="G377" s="448"/>
    </row>
    <row r="378">
      <c r="G378" s="448"/>
    </row>
    <row r="379">
      <c r="G379" s="448"/>
    </row>
    <row r="380">
      <c r="G380" s="448"/>
    </row>
    <row r="381">
      <c r="G381" s="448"/>
    </row>
    <row r="382">
      <c r="G382" s="448"/>
    </row>
    <row r="383">
      <c r="G383" s="448"/>
    </row>
    <row r="384">
      <c r="G384" s="448"/>
    </row>
    <row r="385">
      <c r="G385" s="448"/>
    </row>
    <row r="386">
      <c r="G386" s="448"/>
    </row>
    <row r="387">
      <c r="G387" s="448"/>
    </row>
    <row r="388">
      <c r="G388" s="448"/>
    </row>
    <row r="389">
      <c r="G389" s="448"/>
    </row>
    <row r="390">
      <c r="G390" s="448"/>
    </row>
    <row r="391">
      <c r="G391" s="448"/>
    </row>
    <row r="392">
      <c r="G392" s="448"/>
    </row>
    <row r="393">
      <c r="G393" s="448"/>
    </row>
    <row r="394">
      <c r="G394" s="448"/>
    </row>
    <row r="395">
      <c r="G395" s="448"/>
    </row>
    <row r="396">
      <c r="G396" s="448"/>
    </row>
    <row r="397">
      <c r="G397" s="448"/>
    </row>
    <row r="398">
      <c r="G398" s="448"/>
    </row>
    <row r="399">
      <c r="G399" s="448"/>
    </row>
    <row r="400">
      <c r="G400" s="448"/>
    </row>
    <row r="401">
      <c r="G401" s="448"/>
    </row>
    <row r="402">
      <c r="G402" s="448"/>
    </row>
    <row r="403">
      <c r="G403" s="448"/>
    </row>
    <row r="404">
      <c r="G404" s="448"/>
    </row>
    <row r="405">
      <c r="G405" s="448"/>
    </row>
    <row r="406">
      <c r="G406" s="448"/>
    </row>
    <row r="407">
      <c r="G407" s="448"/>
    </row>
    <row r="408">
      <c r="G408" s="448"/>
    </row>
    <row r="409">
      <c r="G409" s="448"/>
    </row>
    <row r="410">
      <c r="G410" s="448"/>
    </row>
    <row r="411">
      <c r="G411" s="448"/>
    </row>
    <row r="412">
      <c r="G412" s="448"/>
    </row>
    <row r="413">
      <c r="G413" s="448"/>
    </row>
    <row r="414">
      <c r="G414" s="448"/>
    </row>
    <row r="415">
      <c r="G415" s="448"/>
    </row>
    <row r="416">
      <c r="G416" s="448"/>
    </row>
    <row r="417">
      <c r="G417" s="448"/>
    </row>
    <row r="418">
      <c r="G418" s="448"/>
    </row>
    <row r="419">
      <c r="G419" s="448"/>
    </row>
    <row r="420">
      <c r="G420" s="448"/>
    </row>
    <row r="421">
      <c r="G421" s="448"/>
    </row>
    <row r="422">
      <c r="G422" s="448"/>
    </row>
    <row r="423">
      <c r="G423" s="448"/>
    </row>
    <row r="424">
      <c r="G424" s="448"/>
    </row>
    <row r="425">
      <c r="G425" s="448"/>
    </row>
    <row r="426">
      <c r="G426" s="448"/>
    </row>
    <row r="427">
      <c r="G427" s="448"/>
    </row>
    <row r="428">
      <c r="G428" s="448"/>
    </row>
    <row r="429">
      <c r="G429" s="448"/>
    </row>
    <row r="430">
      <c r="G430" s="448"/>
    </row>
    <row r="431">
      <c r="G431" s="448"/>
    </row>
    <row r="432">
      <c r="G432" s="448"/>
    </row>
    <row r="433">
      <c r="G433" s="448"/>
    </row>
    <row r="434">
      <c r="G434" s="448"/>
    </row>
    <row r="435">
      <c r="G435" s="448"/>
    </row>
    <row r="436">
      <c r="G436" s="448"/>
    </row>
    <row r="437">
      <c r="G437" s="448"/>
    </row>
    <row r="438">
      <c r="G438" s="448"/>
    </row>
    <row r="439">
      <c r="G439" s="448"/>
    </row>
    <row r="440">
      <c r="G440" s="448"/>
    </row>
    <row r="441">
      <c r="G441" s="448"/>
    </row>
    <row r="442">
      <c r="G442" s="448"/>
    </row>
    <row r="443">
      <c r="G443" s="448"/>
    </row>
    <row r="444">
      <c r="G444" s="448"/>
    </row>
    <row r="445">
      <c r="G445" s="448"/>
    </row>
    <row r="446">
      <c r="G446" s="448"/>
    </row>
    <row r="447">
      <c r="G447" s="448"/>
    </row>
    <row r="448">
      <c r="G448" s="448"/>
    </row>
    <row r="449">
      <c r="G449" s="448"/>
    </row>
    <row r="450">
      <c r="G450" s="448"/>
    </row>
    <row r="451">
      <c r="G451" s="448"/>
    </row>
    <row r="452">
      <c r="G452" s="448"/>
    </row>
    <row r="453">
      <c r="G453" s="448"/>
    </row>
    <row r="454">
      <c r="G454" s="448"/>
    </row>
    <row r="455">
      <c r="G455" s="448"/>
    </row>
    <row r="456">
      <c r="G456" s="448"/>
    </row>
    <row r="457">
      <c r="G457" s="448"/>
    </row>
    <row r="458">
      <c r="G458" s="448"/>
    </row>
    <row r="459">
      <c r="G459" s="448"/>
    </row>
    <row r="460">
      <c r="G460" s="448"/>
    </row>
    <row r="461">
      <c r="G461" s="448"/>
    </row>
    <row r="462">
      <c r="G462" s="448"/>
    </row>
    <row r="463">
      <c r="G463" s="448"/>
    </row>
    <row r="464">
      <c r="G464" s="448"/>
    </row>
    <row r="465">
      <c r="G465" s="448"/>
    </row>
    <row r="466">
      <c r="G466" s="448"/>
    </row>
    <row r="467">
      <c r="G467" s="448"/>
    </row>
    <row r="468">
      <c r="G468" s="448"/>
    </row>
    <row r="469">
      <c r="G469" s="448"/>
    </row>
    <row r="470">
      <c r="G470" s="448"/>
    </row>
    <row r="471">
      <c r="G471" s="448"/>
    </row>
    <row r="472">
      <c r="G472" s="448"/>
    </row>
    <row r="473">
      <c r="G473" s="448"/>
    </row>
    <row r="474">
      <c r="G474" s="448"/>
    </row>
    <row r="475">
      <c r="G475" s="448"/>
    </row>
    <row r="476">
      <c r="G476" s="448"/>
    </row>
    <row r="477">
      <c r="G477" s="448"/>
    </row>
    <row r="478">
      <c r="G478" s="448"/>
    </row>
    <row r="479">
      <c r="G479" s="448"/>
    </row>
    <row r="480">
      <c r="G480" s="448"/>
    </row>
    <row r="481">
      <c r="G481" s="448"/>
    </row>
    <row r="482">
      <c r="G482" s="448"/>
    </row>
    <row r="483">
      <c r="G483" s="448"/>
    </row>
    <row r="484">
      <c r="G484" s="448"/>
    </row>
    <row r="485">
      <c r="G485" s="448"/>
    </row>
    <row r="486">
      <c r="G486" s="448"/>
    </row>
    <row r="487">
      <c r="G487" s="448"/>
    </row>
    <row r="488">
      <c r="G488" s="448"/>
    </row>
    <row r="489">
      <c r="G489" s="448"/>
    </row>
    <row r="490">
      <c r="G490" s="448"/>
    </row>
    <row r="491">
      <c r="G491" s="448"/>
    </row>
    <row r="492">
      <c r="G492" s="448"/>
    </row>
    <row r="493">
      <c r="G493" s="448"/>
    </row>
    <row r="494">
      <c r="G494" s="448"/>
    </row>
    <row r="495">
      <c r="G495" s="448"/>
    </row>
    <row r="496">
      <c r="G496" s="448"/>
    </row>
    <row r="497">
      <c r="G497" s="448"/>
    </row>
    <row r="498">
      <c r="G498" s="448"/>
    </row>
    <row r="499">
      <c r="G499" s="448"/>
    </row>
    <row r="500">
      <c r="G500" s="448"/>
    </row>
    <row r="501">
      <c r="G501" s="448"/>
    </row>
    <row r="502">
      <c r="G502" s="448"/>
    </row>
    <row r="503">
      <c r="G503" s="448"/>
    </row>
    <row r="504">
      <c r="G504" s="448"/>
    </row>
    <row r="505">
      <c r="G505" s="448"/>
    </row>
    <row r="506">
      <c r="G506" s="448"/>
    </row>
    <row r="507">
      <c r="G507" s="448"/>
    </row>
    <row r="508">
      <c r="G508" s="448"/>
    </row>
    <row r="509">
      <c r="G509" s="448"/>
    </row>
    <row r="510">
      <c r="G510" s="448"/>
    </row>
    <row r="511">
      <c r="G511" s="448"/>
    </row>
    <row r="512">
      <c r="G512" s="448"/>
    </row>
    <row r="513">
      <c r="G513" s="448"/>
    </row>
    <row r="514">
      <c r="G514" s="448"/>
    </row>
    <row r="515">
      <c r="G515" s="448"/>
    </row>
    <row r="516">
      <c r="G516" s="448"/>
    </row>
    <row r="517">
      <c r="G517" s="448"/>
    </row>
    <row r="518">
      <c r="G518" s="448"/>
    </row>
    <row r="519">
      <c r="G519" s="448"/>
    </row>
    <row r="520">
      <c r="G520" s="448"/>
    </row>
    <row r="521">
      <c r="G521" s="448"/>
    </row>
    <row r="522">
      <c r="G522" s="448"/>
    </row>
    <row r="523">
      <c r="G523" s="448"/>
    </row>
    <row r="524">
      <c r="G524" s="448"/>
    </row>
    <row r="525">
      <c r="G525" s="448"/>
    </row>
    <row r="526">
      <c r="G526" s="448"/>
    </row>
    <row r="527">
      <c r="G527" s="448"/>
    </row>
    <row r="528">
      <c r="G528" s="448"/>
    </row>
    <row r="529">
      <c r="G529" s="448"/>
    </row>
    <row r="530">
      <c r="G530" s="448"/>
    </row>
    <row r="531">
      <c r="G531" s="448"/>
    </row>
    <row r="532">
      <c r="G532" s="448"/>
    </row>
    <row r="533">
      <c r="G533" s="448"/>
    </row>
    <row r="534">
      <c r="G534" s="448"/>
    </row>
    <row r="535">
      <c r="G535" s="448"/>
    </row>
    <row r="536">
      <c r="G536" s="448"/>
    </row>
    <row r="537">
      <c r="G537" s="448"/>
    </row>
    <row r="538">
      <c r="G538" s="448"/>
    </row>
    <row r="539">
      <c r="G539" s="448"/>
    </row>
    <row r="540">
      <c r="G540" s="448"/>
    </row>
    <row r="541">
      <c r="G541" s="448"/>
    </row>
    <row r="542">
      <c r="G542" s="448"/>
    </row>
    <row r="543">
      <c r="G543" s="448"/>
    </row>
    <row r="544">
      <c r="G544" s="448"/>
    </row>
    <row r="545">
      <c r="G545" s="448"/>
    </row>
    <row r="546">
      <c r="G546" s="448"/>
    </row>
    <row r="547">
      <c r="G547" s="448"/>
    </row>
    <row r="548">
      <c r="G548" s="448"/>
    </row>
    <row r="549">
      <c r="G549" s="448"/>
    </row>
    <row r="550">
      <c r="G550" s="448"/>
    </row>
    <row r="551">
      <c r="G551" s="448"/>
    </row>
    <row r="552">
      <c r="G552" s="448"/>
    </row>
    <row r="553">
      <c r="G553" s="448"/>
    </row>
    <row r="554">
      <c r="G554" s="448"/>
    </row>
    <row r="555">
      <c r="G555" s="448"/>
    </row>
    <row r="556">
      <c r="G556" s="448"/>
    </row>
    <row r="557">
      <c r="G557" s="448"/>
    </row>
    <row r="558">
      <c r="G558" s="448"/>
    </row>
    <row r="559">
      <c r="G559" s="448"/>
    </row>
    <row r="560">
      <c r="G560" s="448"/>
    </row>
    <row r="561">
      <c r="G561" s="448"/>
    </row>
    <row r="562">
      <c r="G562" s="448"/>
    </row>
    <row r="563">
      <c r="G563" s="448"/>
    </row>
    <row r="564">
      <c r="G564" s="448"/>
    </row>
    <row r="565">
      <c r="G565" s="448"/>
    </row>
    <row r="566">
      <c r="G566" s="448"/>
    </row>
    <row r="567">
      <c r="G567" s="448"/>
    </row>
    <row r="568">
      <c r="G568" s="448"/>
    </row>
    <row r="569">
      <c r="G569" s="448"/>
    </row>
    <row r="570">
      <c r="G570" s="448"/>
    </row>
    <row r="571">
      <c r="G571" s="448"/>
    </row>
    <row r="572">
      <c r="G572" s="448"/>
    </row>
    <row r="573">
      <c r="G573" s="448"/>
    </row>
    <row r="574">
      <c r="G574" s="448"/>
    </row>
    <row r="575">
      <c r="G575" s="448"/>
    </row>
    <row r="576">
      <c r="G576" s="448"/>
    </row>
    <row r="577">
      <c r="G577" s="448"/>
    </row>
    <row r="578">
      <c r="G578" s="448"/>
    </row>
    <row r="579">
      <c r="G579" s="448"/>
    </row>
    <row r="580">
      <c r="G580" s="448"/>
    </row>
    <row r="581">
      <c r="G581" s="448"/>
    </row>
    <row r="582">
      <c r="G582" s="448"/>
    </row>
    <row r="583">
      <c r="G583" s="448"/>
    </row>
    <row r="584">
      <c r="G584" s="448"/>
    </row>
    <row r="585">
      <c r="G585" s="448"/>
    </row>
    <row r="586">
      <c r="G586" s="448"/>
    </row>
    <row r="587">
      <c r="G587" s="448"/>
    </row>
    <row r="588">
      <c r="G588" s="448"/>
    </row>
    <row r="589">
      <c r="G589" s="448"/>
    </row>
    <row r="590">
      <c r="G590" s="448"/>
    </row>
    <row r="591">
      <c r="G591" s="448"/>
    </row>
    <row r="592">
      <c r="G592" s="448"/>
    </row>
    <row r="593">
      <c r="G593" s="448"/>
    </row>
    <row r="594">
      <c r="G594" s="448"/>
    </row>
    <row r="595">
      <c r="G595" s="448"/>
    </row>
    <row r="596">
      <c r="G596" s="448"/>
    </row>
    <row r="597">
      <c r="G597" s="448"/>
    </row>
    <row r="598">
      <c r="G598" s="448"/>
    </row>
    <row r="599">
      <c r="G599" s="448"/>
    </row>
    <row r="600">
      <c r="G600" s="448"/>
    </row>
    <row r="601">
      <c r="G601" s="448"/>
    </row>
    <row r="602">
      <c r="G602" s="448"/>
    </row>
    <row r="603">
      <c r="G603" s="448"/>
    </row>
    <row r="604">
      <c r="G604" s="448"/>
    </row>
    <row r="605">
      <c r="G605" s="448"/>
    </row>
    <row r="606">
      <c r="G606" s="448"/>
    </row>
    <row r="607">
      <c r="G607" s="448"/>
    </row>
    <row r="608">
      <c r="G608" s="448"/>
    </row>
    <row r="609">
      <c r="G609" s="448"/>
    </row>
    <row r="610">
      <c r="G610" s="448"/>
    </row>
    <row r="611">
      <c r="G611" s="448"/>
    </row>
    <row r="612">
      <c r="G612" s="448"/>
    </row>
    <row r="613">
      <c r="G613" s="448"/>
    </row>
    <row r="614">
      <c r="G614" s="448"/>
    </row>
    <row r="615">
      <c r="G615" s="448"/>
    </row>
    <row r="616">
      <c r="G616" s="448"/>
    </row>
    <row r="617">
      <c r="G617" s="448"/>
    </row>
    <row r="618">
      <c r="G618" s="448"/>
    </row>
    <row r="619">
      <c r="G619" s="448"/>
    </row>
    <row r="620">
      <c r="G620" s="448"/>
    </row>
    <row r="621">
      <c r="G621" s="448"/>
    </row>
    <row r="622">
      <c r="G622" s="448"/>
    </row>
    <row r="623">
      <c r="G623" s="448"/>
    </row>
    <row r="624">
      <c r="G624" s="448"/>
    </row>
    <row r="625">
      <c r="G625" s="448"/>
    </row>
    <row r="626">
      <c r="G626" s="448"/>
    </row>
    <row r="627">
      <c r="G627" s="448"/>
    </row>
    <row r="628">
      <c r="G628" s="448"/>
    </row>
    <row r="629">
      <c r="G629" s="448"/>
    </row>
    <row r="630">
      <c r="G630" s="448"/>
    </row>
    <row r="631">
      <c r="G631" s="448"/>
    </row>
    <row r="632">
      <c r="G632" s="448"/>
    </row>
    <row r="633">
      <c r="G633" s="448"/>
    </row>
    <row r="634">
      <c r="G634" s="448"/>
    </row>
    <row r="635">
      <c r="G635" s="448"/>
    </row>
    <row r="636">
      <c r="G636" s="448"/>
    </row>
    <row r="637">
      <c r="G637" s="448"/>
    </row>
    <row r="638">
      <c r="G638" s="448"/>
    </row>
    <row r="639">
      <c r="G639" s="448"/>
    </row>
    <row r="640">
      <c r="G640" s="448"/>
    </row>
    <row r="641">
      <c r="G641" s="448"/>
    </row>
    <row r="642">
      <c r="G642" s="448"/>
    </row>
    <row r="643">
      <c r="G643" s="448"/>
    </row>
    <row r="644">
      <c r="G644" s="448"/>
    </row>
    <row r="645">
      <c r="G645" s="448"/>
    </row>
    <row r="646">
      <c r="G646" s="448"/>
    </row>
    <row r="647">
      <c r="G647" s="448"/>
    </row>
    <row r="648">
      <c r="G648" s="448"/>
    </row>
    <row r="649">
      <c r="G649" s="448"/>
    </row>
    <row r="650">
      <c r="G650" s="448"/>
    </row>
    <row r="651">
      <c r="G651" s="448"/>
    </row>
    <row r="652">
      <c r="G652" s="448"/>
    </row>
    <row r="653">
      <c r="G653" s="448"/>
    </row>
    <row r="654">
      <c r="G654" s="448"/>
    </row>
    <row r="655">
      <c r="G655" s="448"/>
    </row>
    <row r="656">
      <c r="G656" s="448"/>
    </row>
    <row r="657">
      <c r="G657" s="448"/>
    </row>
    <row r="658">
      <c r="G658" s="448"/>
    </row>
    <row r="659">
      <c r="G659" s="448"/>
    </row>
    <row r="660">
      <c r="G660" s="448"/>
    </row>
    <row r="661">
      <c r="G661" s="448"/>
    </row>
    <row r="662">
      <c r="G662" s="448"/>
    </row>
    <row r="663">
      <c r="G663" s="448"/>
    </row>
    <row r="664">
      <c r="G664" s="448"/>
    </row>
    <row r="665">
      <c r="G665" s="448"/>
    </row>
    <row r="666">
      <c r="G666" s="448"/>
    </row>
    <row r="667">
      <c r="G667" s="448"/>
    </row>
    <row r="668">
      <c r="G668" s="448"/>
    </row>
    <row r="669">
      <c r="G669" s="448"/>
    </row>
    <row r="670">
      <c r="G670" s="448"/>
    </row>
    <row r="671">
      <c r="G671" s="448"/>
    </row>
    <row r="672">
      <c r="G672" s="448"/>
    </row>
    <row r="673">
      <c r="G673" s="448"/>
    </row>
    <row r="674">
      <c r="G674" s="448"/>
    </row>
    <row r="675">
      <c r="G675" s="448"/>
    </row>
    <row r="676">
      <c r="G676" s="448"/>
    </row>
    <row r="677">
      <c r="G677" s="448"/>
    </row>
    <row r="678">
      <c r="G678" s="448"/>
    </row>
    <row r="679">
      <c r="G679" s="448"/>
    </row>
    <row r="680">
      <c r="G680" s="448"/>
    </row>
    <row r="681">
      <c r="G681" s="448"/>
    </row>
    <row r="682">
      <c r="G682" s="448"/>
    </row>
    <row r="683">
      <c r="G683" s="448"/>
    </row>
    <row r="684">
      <c r="G684" s="448"/>
    </row>
    <row r="685">
      <c r="G685" s="448"/>
    </row>
    <row r="686">
      <c r="G686" s="448"/>
    </row>
    <row r="687">
      <c r="G687" s="448"/>
    </row>
    <row r="688">
      <c r="G688" s="448"/>
    </row>
    <row r="689">
      <c r="G689" s="448"/>
    </row>
    <row r="690">
      <c r="G690" s="448"/>
    </row>
    <row r="691">
      <c r="G691" s="448"/>
    </row>
    <row r="692">
      <c r="G692" s="448"/>
    </row>
    <row r="693">
      <c r="G693" s="448"/>
    </row>
    <row r="694">
      <c r="G694" s="448"/>
    </row>
    <row r="695">
      <c r="G695" s="448"/>
    </row>
    <row r="696">
      <c r="G696" s="448"/>
    </row>
    <row r="697">
      <c r="G697" s="448"/>
    </row>
    <row r="698">
      <c r="G698" s="448"/>
    </row>
    <row r="699">
      <c r="G699" s="448"/>
    </row>
    <row r="700">
      <c r="G700" s="448"/>
    </row>
    <row r="701">
      <c r="G701" s="448"/>
    </row>
    <row r="702">
      <c r="G702" s="448"/>
    </row>
    <row r="703">
      <c r="G703" s="448"/>
    </row>
    <row r="704">
      <c r="G704" s="448"/>
    </row>
    <row r="705">
      <c r="G705" s="448"/>
    </row>
    <row r="706">
      <c r="G706" s="448"/>
    </row>
    <row r="707">
      <c r="G707" s="448"/>
    </row>
    <row r="708">
      <c r="G708" s="448"/>
    </row>
    <row r="709">
      <c r="G709" s="448"/>
    </row>
    <row r="710">
      <c r="G710" s="448"/>
    </row>
    <row r="711">
      <c r="G711" s="448"/>
    </row>
    <row r="712">
      <c r="G712" s="448"/>
    </row>
    <row r="713">
      <c r="G713" s="448"/>
    </row>
    <row r="714">
      <c r="G714" s="448"/>
    </row>
    <row r="715">
      <c r="G715" s="448"/>
    </row>
    <row r="716">
      <c r="G716" s="448"/>
    </row>
    <row r="717">
      <c r="G717" s="448"/>
    </row>
    <row r="718">
      <c r="G718" s="448"/>
    </row>
    <row r="719">
      <c r="G719" s="448"/>
    </row>
    <row r="720">
      <c r="G720" s="448"/>
    </row>
    <row r="721">
      <c r="G721" s="448"/>
    </row>
    <row r="722">
      <c r="G722" s="448"/>
    </row>
    <row r="723">
      <c r="G723" s="448"/>
    </row>
    <row r="724">
      <c r="G724" s="448"/>
    </row>
    <row r="725">
      <c r="G725" s="448"/>
    </row>
    <row r="726">
      <c r="G726" s="448"/>
    </row>
    <row r="727">
      <c r="G727" s="448"/>
    </row>
    <row r="728">
      <c r="G728" s="448"/>
    </row>
    <row r="729">
      <c r="G729" s="448"/>
    </row>
    <row r="730">
      <c r="G730" s="448"/>
    </row>
    <row r="731">
      <c r="G731" s="448"/>
    </row>
    <row r="732">
      <c r="G732" s="448"/>
    </row>
    <row r="733">
      <c r="G733" s="448"/>
    </row>
    <row r="734">
      <c r="G734" s="448"/>
    </row>
    <row r="735">
      <c r="G735" s="448"/>
    </row>
    <row r="736">
      <c r="G736" s="448"/>
    </row>
    <row r="737">
      <c r="G737" s="448"/>
    </row>
    <row r="738">
      <c r="G738" s="448"/>
    </row>
    <row r="739">
      <c r="G739" s="448"/>
    </row>
    <row r="740">
      <c r="G740" s="448"/>
    </row>
    <row r="741">
      <c r="G741" s="448"/>
    </row>
    <row r="742">
      <c r="G742" s="448"/>
    </row>
    <row r="743">
      <c r="G743" s="448"/>
    </row>
    <row r="744">
      <c r="G744" s="448"/>
    </row>
    <row r="745">
      <c r="G745" s="448"/>
    </row>
    <row r="746">
      <c r="G746" s="448"/>
    </row>
    <row r="747">
      <c r="G747" s="448"/>
    </row>
    <row r="748">
      <c r="G748" s="448"/>
    </row>
    <row r="749">
      <c r="G749" s="448"/>
    </row>
    <row r="750">
      <c r="G750" s="448"/>
    </row>
    <row r="751">
      <c r="G751" s="448"/>
    </row>
    <row r="752">
      <c r="G752" s="448"/>
    </row>
    <row r="753">
      <c r="G753" s="448"/>
    </row>
    <row r="754">
      <c r="G754" s="448"/>
    </row>
    <row r="755">
      <c r="G755" s="448"/>
    </row>
    <row r="756">
      <c r="G756" s="448"/>
    </row>
    <row r="757">
      <c r="G757" s="448"/>
    </row>
    <row r="758">
      <c r="G758" s="448"/>
    </row>
    <row r="759">
      <c r="G759" s="448"/>
    </row>
    <row r="760">
      <c r="G760" s="448"/>
    </row>
    <row r="761">
      <c r="G761" s="448"/>
    </row>
    <row r="762">
      <c r="G762" s="448"/>
    </row>
    <row r="763">
      <c r="G763" s="448"/>
    </row>
    <row r="764">
      <c r="G764" s="448"/>
    </row>
    <row r="765">
      <c r="G765" s="448"/>
    </row>
    <row r="766">
      <c r="G766" s="448"/>
    </row>
    <row r="767">
      <c r="G767" s="448"/>
    </row>
    <row r="768">
      <c r="G768" s="448"/>
    </row>
    <row r="769">
      <c r="G769" s="448"/>
    </row>
    <row r="770">
      <c r="G770" s="448"/>
    </row>
    <row r="771">
      <c r="G771" s="448"/>
    </row>
    <row r="772">
      <c r="G772" s="448"/>
    </row>
    <row r="773">
      <c r="G773" s="448"/>
    </row>
    <row r="774">
      <c r="G774" s="448"/>
    </row>
    <row r="775">
      <c r="G775" s="448"/>
    </row>
    <row r="776">
      <c r="G776" s="448"/>
    </row>
    <row r="777">
      <c r="G777" s="448"/>
    </row>
    <row r="778">
      <c r="G778" s="448"/>
    </row>
    <row r="779">
      <c r="G779" s="448"/>
    </row>
    <row r="780">
      <c r="G780" s="448"/>
    </row>
    <row r="781">
      <c r="G781" s="448"/>
    </row>
    <row r="782">
      <c r="G782" s="448"/>
    </row>
    <row r="783">
      <c r="G783" s="448"/>
    </row>
    <row r="784">
      <c r="G784" s="448"/>
    </row>
    <row r="785">
      <c r="G785" s="448"/>
    </row>
    <row r="786">
      <c r="G786" s="448"/>
    </row>
    <row r="787">
      <c r="G787" s="448"/>
    </row>
    <row r="788">
      <c r="G788" s="448"/>
    </row>
    <row r="789">
      <c r="G789" s="448"/>
    </row>
    <row r="790">
      <c r="G790" s="448"/>
    </row>
    <row r="791">
      <c r="G791" s="448"/>
    </row>
    <row r="792">
      <c r="G792" s="448"/>
    </row>
    <row r="793">
      <c r="G793" s="448"/>
    </row>
    <row r="794">
      <c r="G794" s="448"/>
    </row>
    <row r="795">
      <c r="G795" s="448"/>
    </row>
    <row r="796">
      <c r="G796" s="448"/>
    </row>
    <row r="797">
      <c r="G797" s="448"/>
    </row>
    <row r="798">
      <c r="G798" s="448"/>
    </row>
    <row r="799">
      <c r="G799" s="448"/>
    </row>
    <row r="800">
      <c r="G800" s="448"/>
    </row>
    <row r="801">
      <c r="G801" s="448"/>
    </row>
    <row r="802">
      <c r="G802" s="448"/>
    </row>
    <row r="803">
      <c r="G803" s="448"/>
    </row>
    <row r="804">
      <c r="G804" s="448"/>
    </row>
    <row r="805">
      <c r="G805" s="448"/>
    </row>
    <row r="806">
      <c r="G806" s="448"/>
    </row>
    <row r="807">
      <c r="G807" s="448"/>
    </row>
    <row r="808">
      <c r="G808" s="448"/>
    </row>
    <row r="809">
      <c r="G809" s="448"/>
    </row>
    <row r="810">
      <c r="G810" s="448"/>
    </row>
    <row r="811">
      <c r="G811" s="448"/>
    </row>
    <row r="812">
      <c r="G812" s="448"/>
    </row>
    <row r="813">
      <c r="G813" s="448"/>
    </row>
    <row r="814">
      <c r="G814" s="448"/>
    </row>
    <row r="815">
      <c r="G815" s="448"/>
    </row>
    <row r="816">
      <c r="G816" s="448"/>
    </row>
    <row r="817">
      <c r="G817" s="448"/>
    </row>
    <row r="818">
      <c r="G818" s="448"/>
    </row>
    <row r="819">
      <c r="G819" s="448"/>
    </row>
    <row r="820">
      <c r="G820" s="448"/>
    </row>
    <row r="821">
      <c r="G821" s="448"/>
    </row>
    <row r="822">
      <c r="G822" s="448"/>
    </row>
    <row r="823">
      <c r="G823" s="448"/>
    </row>
    <row r="824">
      <c r="G824" s="448"/>
    </row>
    <row r="825">
      <c r="G825" s="448"/>
    </row>
    <row r="826">
      <c r="G826" s="448"/>
    </row>
    <row r="827">
      <c r="G827" s="448"/>
    </row>
    <row r="828">
      <c r="G828" s="448"/>
    </row>
    <row r="829">
      <c r="G829" s="448"/>
    </row>
    <row r="830">
      <c r="G830" s="448"/>
    </row>
    <row r="831">
      <c r="G831" s="448"/>
    </row>
    <row r="832">
      <c r="G832" s="448"/>
    </row>
    <row r="833">
      <c r="G833" s="448"/>
    </row>
    <row r="834">
      <c r="G834" s="448"/>
    </row>
    <row r="835">
      <c r="G835" s="448"/>
    </row>
    <row r="836">
      <c r="G836" s="448"/>
    </row>
    <row r="837">
      <c r="G837" s="448"/>
    </row>
    <row r="838">
      <c r="G838" s="448"/>
    </row>
    <row r="839">
      <c r="G839" s="448"/>
    </row>
    <row r="840">
      <c r="G840" s="448"/>
    </row>
    <row r="841">
      <c r="G841" s="448"/>
    </row>
    <row r="842">
      <c r="G842" s="448"/>
    </row>
    <row r="843">
      <c r="G843" s="448"/>
    </row>
    <row r="844">
      <c r="G844" s="448"/>
    </row>
    <row r="845">
      <c r="G845" s="448"/>
    </row>
    <row r="846">
      <c r="G846" s="448"/>
    </row>
    <row r="847">
      <c r="G847" s="448"/>
    </row>
    <row r="848">
      <c r="G848" s="448"/>
    </row>
    <row r="849">
      <c r="G849" s="448"/>
    </row>
    <row r="850">
      <c r="G850" s="448"/>
    </row>
    <row r="851">
      <c r="G851" s="448"/>
    </row>
    <row r="852">
      <c r="G852" s="448"/>
    </row>
    <row r="853">
      <c r="G853" s="448"/>
    </row>
    <row r="854">
      <c r="G854" s="448"/>
    </row>
    <row r="855">
      <c r="G855" s="448"/>
    </row>
    <row r="856">
      <c r="G856" s="448"/>
    </row>
    <row r="857">
      <c r="G857" s="448"/>
    </row>
    <row r="858">
      <c r="G858" s="448"/>
    </row>
    <row r="859">
      <c r="G859" s="448"/>
    </row>
    <row r="860">
      <c r="G860" s="448"/>
    </row>
    <row r="861">
      <c r="G861" s="448"/>
    </row>
    <row r="862">
      <c r="G862" s="448"/>
    </row>
    <row r="863">
      <c r="G863" s="448"/>
    </row>
    <row r="864">
      <c r="G864" s="448"/>
    </row>
    <row r="865">
      <c r="G865" s="448"/>
    </row>
    <row r="866">
      <c r="G866" s="448"/>
    </row>
    <row r="867">
      <c r="G867" s="448"/>
    </row>
    <row r="868">
      <c r="G868" s="448"/>
    </row>
    <row r="869">
      <c r="G869" s="448"/>
    </row>
    <row r="870">
      <c r="G870" s="448"/>
    </row>
    <row r="871">
      <c r="G871" s="448"/>
    </row>
    <row r="872">
      <c r="G872" s="448"/>
    </row>
    <row r="873">
      <c r="G873" s="448"/>
    </row>
    <row r="874">
      <c r="G874" s="448"/>
    </row>
    <row r="875">
      <c r="G875" s="448"/>
    </row>
    <row r="876">
      <c r="G876" s="448"/>
    </row>
    <row r="877">
      <c r="G877" s="448"/>
    </row>
    <row r="878">
      <c r="G878" s="448"/>
    </row>
    <row r="879">
      <c r="G879" s="448"/>
    </row>
    <row r="880">
      <c r="G880" s="448"/>
    </row>
    <row r="881">
      <c r="G881" s="448"/>
    </row>
    <row r="882">
      <c r="G882" s="448"/>
    </row>
    <row r="883">
      <c r="G883" s="448"/>
    </row>
    <row r="884">
      <c r="G884" s="448"/>
    </row>
    <row r="885">
      <c r="G885" s="448"/>
    </row>
    <row r="886">
      <c r="G886" s="448"/>
    </row>
    <row r="887">
      <c r="G887" s="448"/>
    </row>
    <row r="888">
      <c r="G888" s="448"/>
    </row>
    <row r="889">
      <c r="G889" s="448"/>
    </row>
    <row r="890">
      <c r="G890" s="448"/>
    </row>
    <row r="891">
      <c r="G891" s="448"/>
    </row>
    <row r="892">
      <c r="G892" s="448"/>
    </row>
    <row r="893">
      <c r="G893" s="448"/>
    </row>
    <row r="894">
      <c r="G894" s="448"/>
    </row>
    <row r="895">
      <c r="G895" s="448"/>
    </row>
    <row r="896">
      <c r="G896" s="448"/>
    </row>
    <row r="897">
      <c r="G897" s="448"/>
    </row>
    <row r="898">
      <c r="G898" s="448"/>
    </row>
    <row r="899">
      <c r="G899" s="448"/>
    </row>
    <row r="900">
      <c r="G900" s="448"/>
    </row>
    <row r="901">
      <c r="G901" s="448"/>
    </row>
    <row r="902">
      <c r="G902" s="448"/>
    </row>
    <row r="903">
      <c r="G903" s="448"/>
    </row>
    <row r="904">
      <c r="G904" s="448"/>
    </row>
    <row r="905">
      <c r="G905" s="448"/>
    </row>
    <row r="906">
      <c r="G906" s="448"/>
    </row>
    <row r="907">
      <c r="G907" s="448"/>
    </row>
    <row r="908">
      <c r="G908" s="448"/>
    </row>
    <row r="909">
      <c r="G909" s="448"/>
    </row>
    <row r="910">
      <c r="G910" s="448"/>
    </row>
    <row r="911">
      <c r="G911" s="448"/>
    </row>
    <row r="912">
      <c r="G912" s="448"/>
    </row>
    <row r="913">
      <c r="G913" s="448"/>
    </row>
    <row r="914">
      <c r="G914" s="448"/>
    </row>
    <row r="915">
      <c r="G915" s="448"/>
    </row>
    <row r="916">
      <c r="G916" s="448"/>
    </row>
    <row r="917">
      <c r="G917" s="448"/>
    </row>
    <row r="918">
      <c r="G918" s="448"/>
    </row>
    <row r="919">
      <c r="G919" s="448"/>
    </row>
    <row r="920">
      <c r="G920" s="448"/>
    </row>
    <row r="921">
      <c r="G921" s="448"/>
    </row>
    <row r="922">
      <c r="G922" s="448"/>
    </row>
    <row r="923">
      <c r="G923" s="448"/>
    </row>
    <row r="924">
      <c r="G924" s="448"/>
    </row>
    <row r="925">
      <c r="G925" s="448"/>
    </row>
    <row r="926">
      <c r="G926" s="448"/>
    </row>
    <row r="927">
      <c r="G927" s="448"/>
    </row>
    <row r="928">
      <c r="G928" s="448"/>
    </row>
    <row r="929">
      <c r="G929" s="448"/>
    </row>
    <row r="930">
      <c r="G930" s="448"/>
    </row>
    <row r="931">
      <c r="G931" s="448"/>
    </row>
    <row r="932">
      <c r="G932" s="448"/>
    </row>
    <row r="933">
      <c r="G933" s="448"/>
    </row>
    <row r="934">
      <c r="G934" s="448"/>
    </row>
    <row r="935">
      <c r="G935" s="448"/>
    </row>
    <row r="936">
      <c r="G936" s="448"/>
    </row>
    <row r="937">
      <c r="G937" s="448"/>
    </row>
    <row r="938">
      <c r="G938" s="448"/>
    </row>
    <row r="939">
      <c r="G939" s="448"/>
    </row>
    <row r="940">
      <c r="G940" s="448"/>
    </row>
    <row r="941">
      <c r="G941" s="448"/>
    </row>
    <row r="942">
      <c r="G942" s="448"/>
    </row>
    <row r="943">
      <c r="G943" s="448"/>
    </row>
    <row r="944">
      <c r="G944" s="448"/>
    </row>
    <row r="945">
      <c r="G945" s="448"/>
    </row>
    <row r="946">
      <c r="G946" s="448"/>
    </row>
    <row r="947">
      <c r="G947" s="448"/>
    </row>
    <row r="948">
      <c r="G948" s="448"/>
    </row>
    <row r="949">
      <c r="G949" s="448"/>
    </row>
    <row r="950">
      <c r="G950" s="448"/>
    </row>
    <row r="951">
      <c r="G951" s="448"/>
    </row>
    <row r="952">
      <c r="G952" s="448"/>
    </row>
    <row r="953">
      <c r="G953" s="448"/>
    </row>
    <row r="954">
      <c r="G954" s="448"/>
    </row>
    <row r="955">
      <c r="G955" s="448"/>
    </row>
    <row r="956">
      <c r="G956" s="448"/>
    </row>
    <row r="957">
      <c r="G957" s="448"/>
    </row>
    <row r="958">
      <c r="G958" s="448"/>
    </row>
    <row r="959">
      <c r="G959" s="448"/>
    </row>
    <row r="960">
      <c r="G960" s="448"/>
    </row>
    <row r="961">
      <c r="G961" s="448"/>
    </row>
    <row r="962">
      <c r="G962" s="448"/>
    </row>
    <row r="963">
      <c r="G963" s="448"/>
    </row>
    <row r="964">
      <c r="G964" s="448"/>
    </row>
    <row r="965">
      <c r="G965" s="448"/>
    </row>
    <row r="966">
      <c r="G966" s="448"/>
    </row>
    <row r="967">
      <c r="G967" s="448"/>
    </row>
    <row r="968">
      <c r="G968" s="448"/>
    </row>
    <row r="969">
      <c r="G969" s="448"/>
    </row>
    <row r="970">
      <c r="G970" s="448"/>
    </row>
    <row r="971">
      <c r="G971" s="448"/>
    </row>
    <row r="972">
      <c r="G972" s="448"/>
    </row>
    <row r="973">
      <c r="G973" s="448"/>
    </row>
    <row r="974">
      <c r="G974" s="448"/>
    </row>
    <row r="975">
      <c r="G975" s="448"/>
    </row>
    <row r="976">
      <c r="G976" s="448"/>
    </row>
    <row r="977">
      <c r="G977" s="448"/>
    </row>
    <row r="978">
      <c r="G978" s="448"/>
    </row>
    <row r="979">
      <c r="G979" s="448"/>
    </row>
    <row r="980">
      <c r="G980" s="448"/>
    </row>
    <row r="981">
      <c r="G981" s="448"/>
    </row>
    <row r="982">
      <c r="G982" s="448"/>
    </row>
    <row r="983">
      <c r="G983" s="448"/>
    </row>
    <row r="984">
      <c r="G984" s="448"/>
    </row>
    <row r="985">
      <c r="G985" s="448"/>
    </row>
    <row r="986">
      <c r="G986" s="448"/>
    </row>
    <row r="987">
      <c r="G987" s="448"/>
    </row>
    <row r="988">
      <c r="G988" s="448"/>
    </row>
    <row r="989">
      <c r="G989" s="448"/>
    </row>
    <row r="990">
      <c r="G990" s="448"/>
    </row>
    <row r="991">
      <c r="G991" s="448"/>
    </row>
    <row r="992">
      <c r="G992" s="448"/>
    </row>
    <row r="993">
      <c r="G993" s="448"/>
    </row>
    <row r="994">
      <c r="G994" s="448"/>
    </row>
    <row r="995">
      <c r="G995" s="448"/>
    </row>
    <row r="996">
      <c r="G996" s="448"/>
    </row>
    <row r="997">
      <c r="G997" s="448"/>
    </row>
    <row r="998">
      <c r="G998" s="448"/>
    </row>
    <row r="999">
      <c r="G999" s="448"/>
    </row>
    <row r="1000">
      <c r="G1000" s="448"/>
    </row>
    <row r="1001">
      <c r="G1001" s="448"/>
    </row>
    <row r="1002">
      <c r="G1002" s="448"/>
    </row>
    <row r="1003">
      <c r="G1003" s="448"/>
    </row>
    <row r="1004">
      <c r="G1004" s="448"/>
    </row>
    <row r="1005">
      <c r="G1005" s="448"/>
    </row>
    <row r="1006">
      <c r="G1006" s="448"/>
    </row>
    <row r="1007">
      <c r="G1007" s="448"/>
    </row>
    <row r="1008">
      <c r="G1008" s="448"/>
    </row>
    <row r="1009">
      <c r="G1009" s="448"/>
    </row>
    <row r="1010">
      <c r="G1010" s="448"/>
    </row>
    <row r="1011">
      <c r="G1011" s="448"/>
    </row>
  </sheetData>
  <autoFilter ref="$A$1:$G$82">
    <sortState ref="A1:G82">
      <sortCondition descending="1" ref="F1:F82"/>
      <sortCondition descending="1" ref="G1:G82"/>
    </sortState>
  </autoFilter>
  <mergeCells count="2">
    <mergeCell ref="A1:B1"/>
    <mergeCell ref="A77:G79"/>
  </mergeCells>
  <conditionalFormatting sqref="C3:G76">
    <cfRule type="colorScale" priority="1">
      <colorScale>
        <cfvo type="min"/>
        <cfvo type="percent" val="50"/>
        <cfvo type="max"/>
        <color rgb="FFEAD1DC"/>
        <color rgb="FFB4A7D6"/>
        <color rgb="FFCC4125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0.0"/>
    <col customWidth="1" min="5" max="5" width="16.13"/>
    <col customWidth="1" min="7" max="7" width="15.5"/>
    <col customWidth="1" min="9" max="9" width="7.88"/>
    <col customWidth="1" min="10" max="10" width="21.0"/>
    <col customWidth="1" min="11" max="11" width="14.13"/>
  </cols>
  <sheetData>
    <row r="1">
      <c r="A1" s="449" t="s">
        <v>283</v>
      </c>
      <c r="B1" s="450"/>
      <c r="C1" s="450"/>
      <c r="D1" s="450"/>
      <c r="E1" s="450"/>
      <c r="F1" s="450"/>
      <c r="G1" s="451"/>
      <c r="H1" s="452"/>
      <c r="I1" s="452"/>
      <c r="J1" s="452"/>
      <c r="K1" s="452"/>
      <c r="L1" s="452"/>
      <c r="M1" s="452"/>
    </row>
    <row r="2" ht="30.0" customHeight="1">
      <c r="A2" s="453" t="s">
        <v>284</v>
      </c>
      <c r="B2" s="454" t="s">
        <v>285</v>
      </c>
      <c r="C2" s="455" t="s">
        <v>286</v>
      </c>
      <c r="D2" s="453" t="s">
        <v>287</v>
      </c>
      <c r="E2" s="455" t="s">
        <v>288</v>
      </c>
      <c r="F2" s="453" t="s">
        <v>289</v>
      </c>
      <c r="G2" s="453" t="s">
        <v>290</v>
      </c>
      <c r="H2" s="452"/>
      <c r="I2" s="452"/>
      <c r="J2" s="452"/>
      <c r="K2" s="452"/>
      <c r="L2" s="452"/>
      <c r="M2" s="452"/>
    </row>
    <row r="3">
      <c r="A3" s="456" t="s">
        <v>291</v>
      </c>
      <c r="B3" s="457" t="s">
        <v>292</v>
      </c>
      <c r="C3" s="458" t="s">
        <v>293</v>
      </c>
      <c r="D3" s="459" t="s">
        <v>294</v>
      </c>
      <c r="E3" s="459">
        <v>-15.99</v>
      </c>
      <c r="F3" s="459" t="s">
        <v>295</v>
      </c>
      <c r="G3" s="460" t="s">
        <v>296</v>
      </c>
      <c r="H3" s="452"/>
      <c r="I3" s="452"/>
      <c r="J3" s="452"/>
      <c r="K3" s="452"/>
      <c r="L3" s="452"/>
      <c r="M3" s="452"/>
      <c r="N3" s="461"/>
    </row>
    <row r="4">
      <c r="A4" s="462" t="s">
        <v>297</v>
      </c>
      <c r="B4" s="457" t="s">
        <v>298</v>
      </c>
      <c r="C4" s="458" t="s">
        <v>299</v>
      </c>
      <c r="D4" s="459" t="s">
        <v>294</v>
      </c>
      <c r="E4" s="459">
        <v>-14.66</v>
      </c>
      <c r="F4" s="463" t="s">
        <v>295</v>
      </c>
      <c r="G4" s="460" t="s">
        <v>296</v>
      </c>
      <c r="H4" s="452"/>
      <c r="I4" s="452"/>
      <c r="J4" s="452"/>
      <c r="K4" s="452"/>
      <c r="L4" s="452"/>
      <c r="M4" s="452"/>
    </row>
    <row r="5">
      <c r="A5" s="456" t="s">
        <v>300</v>
      </c>
      <c r="B5" s="457" t="s">
        <v>301</v>
      </c>
      <c r="C5" s="458" t="s">
        <v>302</v>
      </c>
      <c r="D5" s="459" t="s">
        <v>294</v>
      </c>
      <c r="E5" s="459">
        <v>-14.05</v>
      </c>
      <c r="F5" s="459" t="s">
        <v>303</v>
      </c>
      <c r="G5" s="460" t="s">
        <v>304</v>
      </c>
      <c r="H5" s="464"/>
      <c r="I5" s="465"/>
      <c r="J5" s="465"/>
      <c r="K5" s="465"/>
      <c r="L5" s="452"/>
      <c r="M5" s="452"/>
    </row>
    <row r="6">
      <c r="A6" s="456" t="s">
        <v>305</v>
      </c>
      <c r="B6" s="457" t="s">
        <v>306</v>
      </c>
      <c r="C6" s="458" t="s">
        <v>307</v>
      </c>
      <c r="D6" s="459" t="s">
        <v>308</v>
      </c>
      <c r="E6" s="459">
        <v>-13.56</v>
      </c>
      <c r="F6" s="459" t="s">
        <v>309</v>
      </c>
      <c r="G6" s="460" t="s">
        <v>310</v>
      </c>
      <c r="H6" s="466"/>
      <c r="I6" s="467"/>
      <c r="J6" s="467"/>
      <c r="K6" s="467"/>
      <c r="L6" s="452"/>
      <c r="M6" s="452"/>
    </row>
    <row r="7">
      <c r="A7" s="456" t="s">
        <v>311</v>
      </c>
      <c r="B7" s="457" t="s">
        <v>312</v>
      </c>
      <c r="C7" s="458" t="s">
        <v>313</v>
      </c>
      <c r="D7" s="459" t="s">
        <v>314</v>
      </c>
      <c r="E7" s="459">
        <v>-13.56</v>
      </c>
      <c r="F7" s="459" t="s">
        <v>315</v>
      </c>
      <c r="G7" s="460" t="s">
        <v>316</v>
      </c>
      <c r="H7" s="452"/>
      <c r="I7" s="468" t="s">
        <v>317</v>
      </c>
      <c r="J7" s="468" t="s">
        <v>284</v>
      </c>
      <c r="K7" s="468" t="s">
        <v>287</v>
      </c>
      <c r="L7" s="452"/>
      <c r="M7" s="452"/>
      <c r="N7" s="469"/>
    </row>
    <row r="8">
      <c r="A8" s="456" t="s">
        <v>318</v>
      </c>
      <c r="B8" s="457" t="s">
        <v>319</v>
      </c>
      <c r="C8" s="458" t="s">
        <v>320</v>
      </c>
      <c r="D8" s="459" t="s">
        <v>294</v>
      </c>
      <c r="E8" s="459">
        <v>-13.18</v>
      </c>
      <c r="F8" s="463" t="s">
        <v>321</v>
      </c>
      <c r="G8" s="460" t="s">
        <v>296</v>
      </c>
      <c r="H8" s="470"/>
      <c r="I8" s="471" t="s">
        <v>309</v>
      </c>
      <c r="J8" s="472" t="s">
        <v>322</v>
      </c>
      <c r="K8" s="460" t="s">
        <v>308</v>
      </c>
      <c r="L8" s="452"/>
      <c r="M8" s="452"/>
    </row>
    <row r="9">
      <c r="A9" s="456" t="s">
        <v>323</v>
      </c>
      <c r="B9" s="457" t="s">
        <v>324</v>
      </c>
      <c r="C9" s="458" t="s">
        <v>325</v>
      </c>
      <c r="D9" s="459" t="s">
        <v>314</v>
      </c>
      <c r="E9" s="459">
        <v>-13.13</v>
      </c>
      <c r="F9" s="463" t="s">
        <v>315</v>
      </c>
      <c r="G9" s="460" t="s">
        <v>316</v>
      </c>
      <c r="H9" s="470"/>
      <c r="I9" s="462" t="s">
        <v>303</v>
      </c>
      <c r="J9" s="472" t="s">
        <v>326</v>
      </c>
      <c r="K9" s="460" t="s">
        <v>327</v>
      </c>
      <c r="L9" s="452"/>
      <c r="M9" s="452"/>
    </row>
    <row r="10">
      <c r="A10" s="456" t="s">
        <v>328</v>
      </c>
      <c r="B10" s="457" t="s">
        <v>329</v>
      </c>
      <c r="C10" s="458" t="s">
        <v>330</v>
      </c>
      <c r="D10" s="459" t="s">
        <v>331</v>
      </c>
      <c r="E10" s="459">
        <v>-12.77</v>
      </c>
      <c r="F10" s="459" t="s">
        <v>332</v>
      </c>
      <c r="G10" s="460" t="s">
        <v>333</v>
      </c>
      <c r="H10" s="452"/>
      <c r="I10" s="471" t="s">
        <v>334</v>
      </c>
      <c r="J10" s="472" t="s">
        <v>335</v>
      </c>
      <c r="K10" s="460" t="s">
        <v>327</v>
      </c>
      <c r="L10" s="452"/>
      <c r="M10" s="452"/>
      <c r="N10" s="473"/>
    </row>
    <row r="11">
      <c r="A11" s="456" t="s">
        <v>336</v>
      </c>
      <c r="B11" s="457" t="s">
        <v>337</v>
      </c>
      <c r="C11" s="458" t="s">
        <v>338</v>
      </c>
      <c r="D11" s="459" t="s">
        <v>294</v>
      </c>
      <c r="E11" s="459">
        <v>-12.58</v>
      </c>
      <c r="F11" s="463" t="s">
        <v>309</v>
      </c>
      <c r="G11" s="460" t="s">
        <v>296</v>
      </c>
      <c r="H11" s="452"/>
      <c r="I11" s="462" t="s">
        <v>315</v>
      </c>
      <c r="J11" s="472" t="s">
        <v>339</v>
      </c>
      <c r="K11" s="460" t="s">
        <v>327</v>
      </c>
      <c r="L11" s="452"/>
      <c r="M11" s="452"/>
    </row>
    <row r="12">
      <c r="A12" s="462" t="s">
        <v>340</v>
      </c>
      <c r="B12" s="457" t="s">
        <v>341</v>
      </c>
      <c r="C12" s="458" t="s">
        <v>342</v>
      </c>
      <c r="D12" s="459" t="s">
        <v>294</v>
      </c>
      <c r="E12" s="459">
        <v>-11.89</v>
      </c>
      <c r="F12" s="463" t="s">
        <v>295</v>
      </c>
      <c r="G12" s="460" t="s">
        <v>296</v>
      </c>
      <c r="H12" s="466"/>
      <c r="I12" s="471" t="s">
        <v>295</v>
      </c>
      <c r="J12" s="472" t="s">
        <v>343</v>
      </c>
      <c r="K12" s="460" t="s">
        <v>308</v>
      </c>
      <c r="L12" s="452"/>
      <c r="M12" s="452"/>
    </row>
    <row r="13">
      <c r="A13" s="456" t="s">
        <v>344</v>
      </c>
      <c r="B13" s="457" t="s">
        <v>345</v>
      </c>
      <c r="C13" s="458" t="s">
        <v>346</v>
      </c>
      <c r="D13" s="459" t="s">
        <v>294</v>
      </c>
      <c r="E13" s="459">
        <v>-11.86</v>
      </c>
      <c r="F13" s="463" t="s">
        <v>295</v>
      </c>
      <c r="G13" s="460" t="s">
        <v>296</v>
      </c>
      <c r="H13" s="452"/>
      <c r="I13" s="462" t="s">
        <v>321</v>
      </c>
      <c r="J13" s="472" t="s">
        <v>347</v>
      </c>
      <c r="K13" s="460" t="s">
        <v>308</v>
      </c>
      <c r="L13" s="452"/>
      <c r="M13" s="452"/>
    </row>
    <row r="14">
      <c r="A14" s="462" t="s">
        <v>348</v>
      </c>
      <c r="B14" s="457" t="s">
        <v>349</v>
      </c>
      <c r="C14" s="458" t="s">
        <v>350</v>
      </c>
      <c r="D14" s="459" t="s">
        <v>294</v>
      </c>
      <c r="E14" s="459">
        <v>-11.58</v>
      </c>
      <c r="F14" s="463" t="s">
        <v>321</v>
      </c>
      <c r="G14" s="460" t="s">
        <v>296</v>
      </c>
      <c r="H14" s="452"/>
      <c r="I14" s="471" t="s">
        <v>351</v>
      </c>
      <c r="J14" s="472" t="s">
        <v>352</v>
      </c>
      <c r="K14" s="460" t="s">
        <v>308</v>
      </c>
      <c r="L14" s="452"/>
      <c r="M14" s="452"/>
    </row>
    <row r="15">
      <c r="A15" s="456" t="s">
        <v>353</v>
      </c>
      <c r="B15" s="457" t="s">
        <v>354</v>
      </c>
      <c r="C15" s="458" t="s">
        <v>355</v>
      </c>
      <c r="D15" s="459" t="s">
        <v>308</v>
      </c>
      <c r="E15" s="459">
        <v>-11.17</v>
      </c>
      <c r="F15" s="463" t="s">
        <v>303</v>
      </c>
      <c r="G15" s="460" t="s">
        <v>356</v>
      </c>
      <c r="H15" s="452"/>
      <c r="I15" s="462" t="s">
        <v>357</v>
      </c>
      <c r="J15" s="472" t="s">
        <v>358</v>
      </c>
      <c r="K15" s="460" t="s">
        <v>308</v>
      </c>
      <c r="L15" s="452"/>
      <c r="M15" s="452"/>
    </row>
    <row r="16">
      <c r="A16" s="456" t="s">
        <v>359</v>
      </c>
      <c r="B16" s="457" t="s">
        <v>360</v>
      </c>
      <c r="C16" s="458" t="s">
        <v>361</v>
      </c>
      <c r="D16" s="459" t="s">
        <v>308</v>
      </c>
      <c r="E16" s="459">
        <v>-10.93</v>
      </c>
      <c r="F16" s="463" t="s">
        <v>303</v>
      </c>
      <c r="G16" s="460" t="s">
        <v>356</v>
      </c>
      <c r="H16" s="470"/>
      <c r="I16" s="474" t="s">
        <v>332</v>
      </c>
      <c r="J16" s="475" t="s">
        <v>362</v>
      </c>
      <c r="K16" s="476" t="s">
        <v>308</v>
      </c>
      <c r="L16" s="452"/>
      <c r="M16" s="452"/>
    </row>
    <row r="17">
      <c r="A17" s="456" t="s">
        <v>363</v>
      </c>
      <c r="B17" s="457" t="s">
        <v>364</v>
      </c>
      <c r="C17" s="458" t="s">
        <v>365</v>
      </c>
      <c r="D17" s="459" t="s">
        <v>294</v>
      </c>
      <c r="E17" s="459">
        <v>-10.91</v>
      </c>
      <c r="F17" s="463" t="s">
        <v>332</v>
      </c>
      <c r="G17" s="460" t="s">
        <v>296</v>
      </c>
      <c r="H17" s="452"/>
      <c r="I17" s="465" t="s">
        <v>366</v>
      </c>
      <c r="L17" s="452"/>
      <c r="M17" s="452"/>
    </row>
    <row r="18">
      <c r="A18" s="456" t="s">
        <v>367</v>
      </c>
      <c r="B18" s="457" t="s">
        <v>368</v>
      </c>
      <c r="C18" s="458" t="s">
        <v>369</v>
      </c>
      <c r="D18" s="459" t="s">
        <v>308</v>
      </c>
      <c r="E18" s="459">
        <v>-10.83</v>
      </c>
      <c r="F18" s="463" t="s">
        <v>295</v>
      </c>
      <c r="G18" s="460" t="s">
        <v>310</v>
      </c>
      <c r="H18" s="452"/>
      <c r="L18" s="452"/>
      <c r="M18" s="452"/>
    </row>
    <row r="19">
      <c r="A19" s="456" t="s">
        <v>370</v>
      </c>
      <c r="B19" s="457" t="s">
        <v>371</v>
      </c>
      <c r="C19" s="458" t="s">
        <v>372</v>
      </c>
      <c r="D19" s="459" t="s">
        <v>294</v>
      </c>
      <c r="E19" s="459">
        <v>-10.8</v>
      </c>
      <c r="F19" s="463" t="s">
        <v>309</v>
      </c>
      <c r="G19" s="460" t="s">
        <v>296</v>
      </c>
      <c r="H19" s="452"/>
      <c r="I19" s="452"/>
      <c r="J19" s="452"/>
      <c r="K19" s="452"/>
      <c r="L19" s="452"/>
      <c r="M19" s="452"/>
    </row>
    <row r="20">
      <c r="A20" s="456" t="s">
        <v>373</v>
      </c>
      <c r="B20" s="457" t="s">
        <v>374</v>
      </c>
      <c r="C20" s="458" t="s">
        <v>375</v>
      </c>
      <c r="D20" s="459" t="s">
        <v>308</v>
      </c>
      <c r="E20" s="459">
        <v>-10.45</v>
      </c>
      <c r="F20" s="463" t="s">
        <v>332</v>
      </c>
      <c r="G20" s="460" t="s">
        <v>310</v>
      </c>
      <c r="H20" s="452"/>
      <c r="I20" s="452"/>
      <c r="J20" s="452"/>
      <c r="K20" s="452"/>
      <c r="L20" s="452"/>
      <c r="M20" s="452"/>
    </row>
    <row r="21">
      <c r="A21" s="456" t="s">
        <v>376</v>
      </c>
      <c r="B21" s="457" t="s">
        <v>377</v>
      </c>
      <c r="C21" s="458" t="s">
        <v>378</v>
      </c>
      <c r="D21" s="459" t="s">
        <v>294</v>
      </c>
      <c r="E21" s="459">
        <v>-10.18</v>
      </c>
      <c r="F21" s="459" t="s">
        <v>351</v>
      </c>
      <c r="G21" s="460" t="s">
        <v>296</v>
      </c>
      <c r="H21" s="452"/>
      <c r="I21" s="452"/>
      <c r="J21" s="452"/>
      <c r="K21" s="452"/>
      <c r="L21" s="452"/>
      <c r="M21" s="452"/>
    </row>
    <row r="22">
      <c r="A22" s="456" t="s">
        <v>379</v>
      </c>
      <c r="B22" s="457" t="s">
        <v>380</v>
      </c>
      <c r="C22" s="458" t="s">
        <v>381</v>
      </c>
      <c r="D22" s="459" t="s">
        <v>294</v>
      </c>
      <c r="E22" s="459">
        <v>-10.1</v>
      </c>
      <c r="F22" s="459" t="s">
        <v>315</v>
      </c>
      <c r="G22" s="460" t="s">
        <v>304</v>
      </c>
      <c r="H22" s="470"/>
      <c r="L22" s="452"/>
      <c r="M22" s="452"/>
    </row>
    <row r="23">
      <c r="A23" s="456" t="s">
        <v>382</v>
      </c>
      <c r="B23" s="457" t="s">
        <v>383</v>
      </c>
      <c r="C23" s="458" t="s">
        <v>384</v>
      </c>
      <c r="D23" s="459" t="s">
        <v>294</v>
      </c>
      <c r="E23" s="459">
        <v>-10.03</v>
      </c>
      <c r="F23" s="463" t="s">
        <v>295</v>
      </c>
      <c r="G23" s="460" t="s">
        <v>385</v>
      </c>
      <c r="H23" s="452"/>
      <c r="I23" s="452"/>
      <c r="J23" s="452"/>
      <c r="K23" s="452"/>
      <c r="L23" s="452"/>
      <c r="M23" s="452"/>
    </row>
    <row r="24">
      <c r="A24" s="456" t="s">
        <v>386</v>
      </c>
      <c r="B24" s="457" t="s">
        <v>387</v>
      </c>
      <c r="C24" s="458" t="s">
        <v>388</v>
      </c>
      <c r="D24" s="459" t="s">
        <v>308</v>
      </c>
      <c r="E24" s="459">
        <v>-9.97</v>
      </c>
      <c r="F24" s="459" t="s">
        <v>303</v>
      </c>
      <c r="G24" s="460" t="s">
        <v>356</v>
      </c>
      <c r="H24" s="470"/>
      <c r="L24" s="452"/>
      <c r="M24" s="452"/>
    </row>
    <row r="25">
      <c r="A25" s="456" t="s">
        <v>389</v>
      </c>
      <c r="B25" s="457" t="s">
        <v>390</v>
      </c>
      <c r="C25" s="458" t="s">
        <v>391</v>
      </c>
      <c r="D25" s="459" t="s">
        <v>392</v>
      </c>
      <c r="E25" s="459">
        <v>-9.87</v>
      </c>
      <c r="F25" s="459" t="s">
        <v>303</v>
      </c>
      <c r="G25" s="460" t="s">
        <v>393</v>
      </c>
      <c r="H25" s="452"/>
      <c r="I25" s="452"/>
      <c r="J25" s="452"/>
      <c r="K25" s="452"/>
      <c r="L25" s="452"/>
      <c r="M25" s="452"/>
    </row>
    <row r="26">
      <c r="A26" s="462" t="s">
        <v>394</v>
      </c>
      <c r="B26" s="457" t="s">
        <v>395</v>
      </c>
      <c r="C26" s="458" t="s">
        <v>396</v>
      </c>
      <c r="D26" s="459" t="s">
        <v>294</v>
      </c>
      <c r="E26" s="459">
        <v>-9.86</v>
      </c>
      <c r="F26" s="463" t="s">
        <v>332</v>
      </c>
      <c r="G26" s="460" t="s">
        <v>296</v>
      </c>
      <c r="H26" s="466"/>
      <c r="L26" s="452"/>
      <c r="M26" s="452"/>
    </row>
    <row r="27">
      <c r="A27" s="456" t="s">
        <v>397</v>
      </c>
      <c r="B27" s="457" t="s">
        <v>398</v>
      </c>
      <c r="C27" s="458" t="s">
        <v>399</v>
      </c>
      <c r="D27" s="459" t="s">
        <v>308</v>
      </c>
      <c r="E27" s="459">
        <v>-9.84</v>
      </c>
      <c r="F27" s="459" t="s">
        <v>351</v>
      </c>
      <c r="G27" s="460" t="s">
        <v>310</v>
      </c>
      <c r="H27" s="477"/>
      <c r="L27" s="452"/>
      <c r="M27" s="452"/>
    </row>
    <row r="28">
      <c r="A28" s="456" t="s">
        <v>400</v>
      </c>
      <c r="B28" s="457" t="s">
        <v>401</v>
      </c>
      <c r="C28" s="458" t="s">
        <v>402</v>
      </c>
      <c r="D28" s="459" t="s">
        <v>294</v>
      </c>
      <c r="E28" s="459">
        <v>-9.29</v>
      </c>
      <c r="F28" s="463" t="s">
        <v>303</v>
      </c>
      <c r="G28" s="460" t="s">
        <v>304</v>
      </c>
      <c r="H28" s="452"/>
      <c r="I28" s="452"/>
      <c r="J28" s="452"/>
      <c r="K28" s="452"/>
      <c r="L28" s="452"/>
      <c r="M28" s="452"/>
    </row>
    <row r="29">
      <c r="A29" s="456" t="s">
        <v>403</v>
      </c>
      <c r="B29" s="457" t="s">
        <v>404</v>
      </c>
      <c r="C29" s="458" t="s">
        <v>405</v>
      </c>
      <c r="D29" s="459" t="s">
        <v>294</v>
      </c>
      <c r="E29" s="459">
        <v>-9.08</v>
      </c>
      <c r="F29" s="463" t="s">
        <v>321</v>
      </c>
      <c r="G29" s="460" t="s">
        <v>296</v>
      </c>
      <c r="H29" s="452"/>
      <c r="I29" s="452"/>
      <c r="J29" s="452"/>
      <c r="K29" s="452"/>
      <c r="L29" s="452"/>
      <c r="M29" s="452"/>
    </row>
    <row r="30">
      <c r="A30" s="456" t="s">
        <v>406</v>
      </c>
      <c r="B30" s="457" t="s">
        <v>407</v>
      </c>
      <c r="C30" s="458" t="s">
        <v>408</v>
      </c>
      <c r="D30" s="459" t="s">
        <v>294</v>
      </c>
      <c r="E30" s="459">
        <v>-8.98</v>
      </c>
      <c r="F30" s="463" t="s">
        <v>351</v>
      </c>
      <c r="G30" s="460" t="s">
        <v>296</v>
      </c>
      <c r="H30" s="452"/>
      <c r="I30" s="452"/>
      <c r="J30" s="452"/>
      <c r="K30" s="452"/>
      <c r="L30" s="452"/>
      <c r="M30" s="452"/>
    </row>
    <row r="31">
      <c r="A31" s="456" t="s">
        <v>409</v>
      </c>
      <c r="B31" s="457" t="s">
        <v>410</v>
      </c>
      <c r="C31" s="458" t="s">
        <v>411</v>
      </c>
      <c r="D31" s="459" t="s">
        <v>294</v>
      </c>
      <c r="E31" s="459">
        <v>-8.69</v>
      </c>
      <c r="F31" s="459" t="s">
        <v>303</v>
      </c>
      <c r="G31" s="460" t="s">
        <v>304</v>
      </c>
      <c r="H31" s="452"/>
      <c r="I31" s="452"/>
      <c r="J31" s="452"/>
      <c r="K31" s="452"/>
      <c r="L31" s="452"/>
      <c r="M31" s="452"/>
      <c r="N31" s="478"/>
    </row>
    <row r="32">
      <c r="A32" s="462" t="s">
        <v>412</v>
      </c>
      <c r="B32" s="457" t="s">
        <v>413</v>
      </c>
      <c r="C32" s="458" t="s">
        <v>414</v>
      </c>
      <c r="D32" s="459" t="s">
        <v>308</v>
      </c>
      <c r="E32" s="459">
        <v>-8.29</v>
      </c>
      <c r="F32" s="459" t="s">
        <v>303</v>
      </c>
      <c r="G32" s="460" t="s">
        <v>356</v>
      </c>
      <c r="H32" s="452"/>
      <c r="I32" s="452"/>
      <c r="J32" s="452"/>
      <c r="K32" s="452"/>
      <c r="L32" s="452"/>
      <c r="M32" s="452"/>
    </row>
    <row r="33">
      <c r="A33" s="456" t="s">
        <v>415</v>
      </c>
      <c r="B33" s="457" t="s">
        <v>416</v>
      </c>
      <c r="C33" s="458" t="s">
        <v>417</v>
      </c>
      <c r="D33" s="459" t="s">
        <v>294</v>
      </c>
      <c r="E33" s="459">
        <v>-7.71</v>
      </c>
      <c r="F33" s="463" t="s">
        <v>351</v>
      </c>
      <c r="G33" s="460" t="s">
        <v>296</v>
      </c>
      <c r="H33" s="452"/>
      <c r="I33" s="452"/>
      <c r="J33" s="452"/>
      <c r="K33" s="452"/>
      <c r="L33" s="452"/>
      <c r="M33" s="452"/>
    </row>
    <row r="34">
      <c r="A34" s="456" t="s">
        <v>418</v>
      </c>
      <c r="B34" s="457" t="s">
        <v>419</v>
      </c>
      <c r="C34" s="458" t="s">
        <v>420</v>
      </c>
      <c r="D34" s="459" t="s">
        <v>308</v>
      </c>
      <c r="E34" s="459">
        <v>-7.58</v>
      </c>
      <c r="F34" s="463" t="s">
        <v>303</v>
      </c>
      <c r="G34" s="460" t="s">
        <v>356</v>
      </c>
      <c r="H34" s="452"/>
      <c r="I34" s="452"/>
      <c r="J34" s="452"/>
      <c r="K34" s="452"/>
      <c r="L34" s="452"/>
      <c r="M34" s="452"/>
    </row>
    <row r="35">
      <c r="A35" s="479" t="s">
        <v>421</v>
      </c>
      <c r="B35" s="480" t="s">
        <v>422</v>
      </c>
      <c r="C35" s="481" t="s">
        <v>423</v>
      </c>
      <c r="D35" s="460" t="s">
        <v>294</v>
      </c>
      <c r="E35" s="460">
        <v>-7.22</v>
      </c>
      <c r="F35" s="460" t="s">
        <v>295</v>
      </c>
      <c r="G35" s="460" t="s">
        <v>296</v>
      </c>
      <c r="H35" s="466"/>
      <c r="L35" s="452"/>
      <c r="M35" s="452"/>
    </row>
    <row r="36">
      <c r="A36" s="479" t="s">
        <v>424</v>
      </c>
      <c r="B36" s="480" t="s">
        <v>425</v>
      </c>
      <c r="C36" s="481" t="s">
        <v>426</v>
      </c>
      <c r="D36" s="460" t="s">
        <v>314</v>
      </c>
      <c r="E36" s="460">
        <v>-6.76</v>
      </c>
      <c r="F36" s="481" t="s">
        <v>315</v>
      </c>
      <c r="G36" s="460" t="s">
        <v>316</v>
      </c>
      <c r="H36" s="452"/>
      <c r="I36" s="452"/>
      <c r="J36" s="452"/>
      <c r="K36" s="452"/>
      <c r="L36" s="452"/>
      <c r="M36" s="452"/>
    </row>
    <row r="37">
      <c r="A37" s="482" t="s">
        <v>427</v>
      </c>
      <c r="B37" s="483"/>
      <c r="C37" s="483"/>
      <c r="D37" s="483"/>
      <c r="E37" s="483"/>
      <c r="F37" s="483"/>
      <c r="G37" s="211"/>
    </row>
    <row r="38">
      <c r="A38" s="484"/>
      <c r="B38" s="485"/>
      <c r="C38" s="486"/>
      <c r="D38" s="484"/>
      <c r="E38" s="486"/>
    </row>
    <row r="39">
      <c r="A39" s="484"/>
      <c r="B39" s="485"/>
      <c r="C39" s="486"/>
      <c r="D39" s="484"/>
      <c r="E39" s="486"/>
    </row>
    <row r="40">
      <c r="A40" s="484"/>
      <c r="B40" s="485"/>
      <c r="C40" s="486"/>
      <c r="D40" s="484"/>
      <c r="E40" s="486"/>
    </row>
    <row r="41">
      <c r="A41" s="484"/>
      <c r="B41" s="485"/>
      <c r="C41" s="486"/>
      <c r="D41" s="484"/>
      <c r="E41" s="486"/>
    </row>
    <row r="42">
      <c r="A42" s="484"/>
      <c r="B42" s="485"/>
      <c r="C42" s="486"/>
      <c r="D42" s="484"/>
      <c r="E42" s="486"/>
    </row>
    <row r="43">
      <c r="A43" s="484"/>
      <c r="B43" s="485"/>
      <c r="C43" s="486"/>
      <c r="D43" s="484"/>
      <c r="E43" s="486"/>
    </row>
    <row r="44">
      <c r="A44" s="487"/>
      <c r="B44" s="488"/>
      <c r="C44" s="487"/>
      <c r="D44" s="487"/>
      <c r="E44" s="487"/>
    </row>
    <row r="45">
      <c r="A45" s="484"/>
      <c r="B45" s="485"/>
      <c r="C45" s="486"/>
      <c r="D45" s="484"/>
      <c r="E45" s="486"/>
    </row>
    <row r="46">
      <c r="A46" s="484"/>
      <c r="B46" s="485"/>
      <c r="C46" s="486"/>
      <c r="D46" s="484"/>
      <c r="E46" s="486"/>
    </row>
    <row r="47">
      <c r="A47" s="484"/>
      <c r="B47" s="485"/>
      <c r="C47" s="486"/>
      <c r="D47" s="484"/>
      <c r="E47" s="486"/>
    </row>
    <row r="48">
      <c r="A48" s="489"/>
      <c r="B48" s="490"/>
    </row>
    <row r="66">
      <c r="B66" s="490"/>
    </row>
    <row r="67">
      <c r="B67" s="490"/>
    </row>
    <row r="68">
      <c r="B68" s="490"/>
    </row>
    <row r="69">
      <c r="B69" s="490"/>
    </row>
    <row r="70">
      <c r="B70" s="490"/>
    </row>
    <row r="71">
      <c r="B71" s="490"/>
    </row>
    <row r="72">
      <c r="B72" s="490"/>
    </row>
    <row r="73">
      <c r="B73" s="490"/>
    </row>
    <row r="74">
      <c r="B74" s="490"/>
    </row>
    <row r="75">
      <c r="B75" s="490"/>
    </row>
    <row r="76">
      <c r="B76" s="490"/>
    </row>
    <row r="77">
      <c r="B77" s="490"/>
    </row>
    <row r="78">
      <c r="B78" s="490"/>
    </row>
    <row r="79">
      <c r="B79" s="490"/>
    </row>
    <row r="80">
      <c r="B80" s="490"/>
    </row>
    <row r="81">
      <c r="B81" s="490"/>
    </row>
    <row r="82">
      <c r="B82" s="490"/>
    </row>
    <row r="83">
      <c r="B83" s="490"/>
    </row>
    <row r="84">
      <c r="B84" s="490"/>
    </row>
    <row r="85">
      <c r="B85" s="490"/>
    </row>
    <row r="86">
      <c r="B86" s="490"/>
    </row>
    <row r="87">
      <c r="B87" s="490"/>
    </row>
    <row r="88">
      <c r="B88" s="490"/>
    </row>
    <row r="89">
      <c r="B89" s="490"/>
    </row>
    <row r="90">
      <c r="B90" s="490"/>
    </row>
    <row r="91">
      <c r="B91" s="490"/>
    </row>
    <row r="92">
      <c r="B92" s="490"/>
    </row>
    <row r="93">
      <c r="B93" s="490"/>
    </row>
    <row r="94">
      <c r="B94" s="490"/>
    </row>
    <row r="95">
      <c r="B95" s="490"/>
    </row>
    <row r="96">
      <c r="B96" s="490"/>
    </row>
    <row r="97">
      <c r="B97" s="490"/>
    </row>
    <row r="98">
      <c r="B98" s="490"/>
    </row>
    <row r="99">
      <c r="B99" s="490"/>
    </row>
    <row r="100">
      <c r="B100" s="490"/>
    </row>
    <row r="101">
      <c r="B101" s="490"/>
    </row>
    <row r="102">
      <c r="B102" s="490"/>
    </row>
    <row r="103">
      <c r="B103" s="490"/>
    </row>
    <row r="104">
      <c r="B104" s="490"/>
    </row>
    <row r="105">
      <c r="B105" s="490"/>
    </row>
    <row r="106">
      <c r="B106" s="490"/>
    </row>
    <row r="107">
      <c r="B107" s="490"/>
    </row>
    <row r="108">
      <c r="B108" s="490"/>
    </row>
    <row r="109">
      <c r="B109" s="490"/>
    </row>
    <row r="110">
      <c r="B110" s="490"/>
    </row>
    <row r="111">
      <c r="B111" s="490"/>
    </row>
    <row r="112">
      <c r="B112" s="490"/>
    </row>
    <row r="113">
      <c r="B113" s="490"/>
    </row>
    <row r="114">
      <c r="B114" s="490"/>
    </row>
    <row r="115">
      <c r="B115" s="490"/>
    </row>
    <row r="116">
      <c r="B116" s="490"/>
    </row>
    <row r="117">
      <c r="B117" s="490"/>
    </row>
    <row r="118">
      <c r="B118" s="490"/>
    </row>
    <row r="119">
      <c r="B119" s="490"/>
    </row>
    <row r="120">
      <c r="B120" s="490"/>
    </row>
    <row r="121">
      <c r="B121" s="490"/>
    </row>
    <row r="122">
      <c r="B122" s="490"/>
    </row>
    <row r="123">
      <c r="B123" s="490"/>
    </row>
    <row r="124">
      <c r="B124" s="490"/>
    </row>
    <row r="125">
      <c r="B125" s="490"/>
    </row>
    <row r="126">
      <c r="B126" s="490"/>
    </row>
    <row r="127">
      <c r="B127" s="490"/>
    </row>
    <row r="128">
      <c r="B128" s="490"/>
    </row>
    <row r="129">
      <c r="B129" s="490"/>
    </row>
    <row r="130">
      <c r="B130" s="490"/>
    </row>
    <row r="131">
      <c r="B131" s="490"/>
    </row>
    <row r="132">
      <c r="B132" s="490"/>
    </row>
    <row r="133">
      <c r="B133" s="490"/>
    </row>
    <row r="134">
      <c r="B134" s="490"/>
    </row>
    <row r="135">
      <c r="B135" s="490"/>
    </row>
    <row r="136">
      <c r="B136" s="490"/>
    </row>
    <row r="137">
      <c r="B137" s="490"/>
    </row>
    <row r="138">
      <c r="B138" s="490"/>
    </row>
    <row r="139">
      <c r="B139" s="490"/>
    </row>
    <row r="140">
      <c r="B140" s="490"/>
    </row>
    <row r="141">
      <c r="B141" s="490"/>
    </row>
    <row r="142">
      <c r="B142" s="490"/>
    </row>
    <row r="143">
      <c r="B143" s="490"/>
    </row>
    <row r="144">
      <c r="B144" s="490"/>
    </row>
    <row r="145">
      <c r="B145" s="490"/>
    </row>
    <row r="146">
      <c r="B146" s="490"/>
    </row>
    <row r="147">
      <c r="B147" s="490"/>
    </row>
    <row r="148">
      <c r="B148" s="490"/>
    </row>
    <row r="149">
      <c r="B149" s="490"/>
    </row>
    <row r="150">
      <c r="B150" s="490"/>
    </row>
    <row r="151">
      <c r="B151" s="490"/>
    </row>
    <row r="152">
      <c r="B152" s="490"/>
    </row>
    <row r="153">
      <c r="B153" s="490"/>
    </row>
    <row r="154">
      <c r="B154" s="490"/>
    </row>
    <row r="155">
      <c r="B155" s="490"/>
    </row>
    <row r="156">
      <c r="B156" s="490"/>
    </row>
    <row r="157">
      <c r="B157" s="490"/>
    </row>
    <row r="158">
      <c r="B158" s="490"/>
    </row>
    <row r="159">
      <c r="B159" s="490"/>
    </row>
    <row r="160">
      <c r="B160" s="490"/>
    </row>
    <row r="161">
      <c r="B161" s="490"/>
    </row>
    <row r="162">
      <c r="B162" s="490"/>
    </row>
    <row r="163">
      <c r="B163" s="490"/>
    </row>
    <row r="164">
      <c r="B164" s="490"/>
    </row>
    <row r="165">
      <c r="B165" s="490"/>
    </row>
    <row r="166">
      <c r="B166" s="490"/>
    </row>
    <row r="167">
      <c r="B167" s="490"/>
    </row>
    <row r="168">
      <c r="B168" s="490"/>
    </row>
    <row r="169">
      <c r="B169" s="490"/>
    </row>
    <row r="170">
      <c r="B170" s="490"/>
    </row>
    <row r="171">
      <c r="B171" s="490"/>
    </row>
    <row r="172">
      <c r="B172" s="490"/>
    </row>
    <row r="173">
      <c r="B173" s="490"/>
    </row>
    <row r="174">
      <c r="B174" s="490"/>
    </row>
    <row r="175">
      <c r="B175" s="490"/>
    </row>
    <row r="176">
      <c r="B176" s="490"/>
    </row>
    <row r="177">
      <c r="B177" s="490"/>
    </row>
    <row r="178">
      <c r="B178" s="490"/>
    </row>
    <row r="179">
      <c r="B179" s="490"/>
    </row>
    <row r="180">
      <c r="B180" s="490"/>
    </row>
    <row r="181">
      <c r="B181" s="490"/>
    </row>
    <row r="182">
      <c r="B182" s="490"/>
    </row>
    <row r="183">
      <c r="B183" s="490"/>
    </row>
    <row r="184">
      <c r="B184" s="490"/>
    </row>
    <row r="185">
      <c r="B185" s="490"/>
    </row>
    <row r="186">
      <c r="B186" s="490"/>
    </row>
    <row r="187">
      <c r="B187" s="490"/>
    </row>
    <row r="188">
      <c r="B188" s="490"/>
    </row>
    <row r="189">
      <c r="B189" s="490"/>
    </row>
    <row r="190">
      <c r="B190" s="490"/>
    </row>
    <row r="191">
      <c r="B191" s="490"/>
    </row>
    <row r="192">
      <c r="B192" s="490"/>
    </row>
    <row r="193">
      <c r="B193" s="490"/>
    </row>
    <row r="194">
      <c r="B194" s="490"/>
    </row>
    <row r="195">
      <c r="B195" s="490"/>
    </row>
    <row r="196">
      <c r="B196" s="490"/>
    </row>
    <row r="197">
      <c r="B197" s="490"/>
    </row>
    <row r="198">
      <c r="B198" s="490"/>
    </row>
    <row r="199">
      <c r="B199" s="490"/>
    </row>
    <row r="200">
      <c r="B200" s="490"/>
    </row>
    <row r="201">
      <c r="B201" s="490"/>
    </row>
    <row r="202">
      <c r="B202" s="490"/>
    </row>
    <row r="203">
      <c r="B203" s="490"/>
    </row>
    <row r="204">
      <c r="B204" s="490"/>
    </row>
    <row r="205">
      <c r="B205" s="490"/>
    </row>
    <row r="206">
      <c r="B206" s="490"/>
    </row>
    <row r="207">
      <c r="B207" s="490"/>
    </row>
    <row r="208">
      <c r="B208" s="490"/>
    </row>
    <row r="209">
      <c r="B209" s="490"/>
    </row>
    <row r="210">
      <c r="B210" s="490"/>
    </row>
    <row r="211">
      <c r="B211" s="490"/>
    </row>
    <row r="212">
      <c r="B212" s="490"/>
    </row>
    <row r="213">
      <c r="B213" s="490"/>
    </row>
    <row r="214">
      <c r="B214" s="490"/>
    </row>
    <row r="215">
      <c r="B215" s="490"/>
    </row>
    <row r="216">
      <c r="B216" s="490"/>
    </row>
    <row r="217">
      <c r="B217" s="490"/>
    </row>
    <row r="218">
      <c r="B218" s="490"/>
    </row>
    <row r="219">
      <c r="B219" s="490"/>
    </row>
    <row r="220">
      <c r="B220" s="490"/>
    </row>
    <row r="221">
      <c r="B221" s="490"/>
    </row>
    <row r="222">
      <c r="B222" s="490"/>
    </row>
    <row r="223">
      <c r="B223" s="490"/>
    </row>
    <row r="224">
      <c r="B224" s="490"/>
    </row>
    <row r="225">
      <c r="B225" s="490"/>
    </row>
    <row r="226">
      <c r="B226" s="490"/>
    </row>
    <row r="227">
      <c r="B227" s="490"/>
    </row>
    <row r="228">
      <c r="B228" s="490"/>
    </row>
    <row r="229">
      <c r="B229" s="490"/>
    </row>
    <row r="230">
      <c r="B230" s="490"/>
    </row>
    <row r="231">
      <c r="B231" s="490"/>
    </row>
    <row r="232">
      <c r="B232" s="490"/>
    </row>
    <row r="233">
      <c r="B233" s="490"/>
    </row>
    <row r="234">
      <c r="B234" s="490"/>
    </row>
    <row r="235">
      <c r="B235" s="490"/>
    </row>
    <row r="236">
      <c r="B236" s="490"/>
    </row>
    <row r="237">
      <c r="B237" s="490"/>
    </row>
    <row r="238">
      <c r="B238" s="490"/>
    </row>
    <row r="239">
      <c r="B239" s="490"/>
    </row>
    <row r="240">
      <c r="B240" s="490"/>
    </row>
    <row r="241">
      <c r="B241" s="490"/>
    </row>
    <row r="242">
      <c r="B242" s="490"/>
    </row>
    <row r="243">
      <c r="B243" s="490"/>
    </row>
    <row r="244">
      <c r="B244" s="490"/>
    </row>
    <row r="245">
      <c r="B245" s="490"/>
    </row>
    <row r="246">
      <c r="B246" s="490"/>
    </row>
    <row r="247">
      <c r="B247" s="490"/>
    </row>
    <row r="248">
      <c r="B248" s="490"/>
    </row>
    <row r="249">
      <c r="B249" s="490"/>
    </row>
    <row r="250">
      <c r="B250" s="490"/>
    </row>
    <row r="251">
      <c r="B251" s="490"/>
    </row>
    <row r="252">
      <c r="B252" s="490"/>
    </row>
    <row r="253">
      <c r="B253" s="490"/>
    </row>
    <row r="254">
      <c r="B254" s="490"/>
    </row>
    <row r="255">
      <c r="B255" s="490"/>
    </row>
    <row r="256">
      <c r="B256" s="490"/>
    </row>
    <row r="257">
      <c r="B257" s="490"/>
    </row>
    <row r="258">
      <c r="B258" s="490"/>
    </row>
    <row r="259">
      <c r="B259" s="490"/>
    </row>
    <row r="260">
      <c r="B260" s="490"/>
    </row>
    <row r="261">
      <c r="B261" s="490"/>
    </row>
    <row r="262">
      <c r="B262" s="490"/>
    </row>
    <row r="263">
      <c r="B263" s="490"/>
    </row>
    <row r="264">
      <c r="B264" s="490"/>
    </row>
    <row r="265">
      <c r="B265" s="490"/>
    </row>
    <row r="266">
      <c r="B266" s="490"/>
    </row>
    <row r="267">
      <c r="B267" s="490"/>
    </row>
    <row r="268">
      <c r="B268" s="490"/>
    </row>
    <row r="269">
      <c r="B269" s="490"/>
    </row>
    <row r="270">
      <c r="B270" s="490"/>
    </row>
    <row r="271">
      <c r="B271" s="490"/>
    </row>
    <row r="272">
      <c r="B272" s="490"/>
    </row>
    <row r="273">
      <c r="B273" s="490"/>
    </row>
    <row r="274">
      <c r="B274" s="490"/>
    </row>
    <row r="275">
      <c r="B275" s="490"/>
    </row>
    <row r="276">
      <c r="B276" s="490"/>
    </row>
    <row r="277">
      <c r="B277" s="490"/>
    </row>
    <row r="278">
      <c r="B278" s="490"/>
    </row>
    <row r="279">
      <c r="B279" s="490"/>
    </row>
    <row r="280">
      <c r="B280" s="490"/>
    </row>
    <row r="281">
      <c r="B281" s="490"/>
    </row>
    <row r="282">
      <c r="B282" s="490"/>
    </row>
    <row r="283">
      <c r="B283" s="490"/>
    </row>
    <row r="284">
      <c r="B284" s="490"/>
    </row>
    <row r="285">
      <c r="B285" s="490"/>
    </row>
    <row r="286">
      <c r="B286" s="490"/>
    </row>
    <row r="287">
      <c r="B287" s="490"/>
    </row>
    <row r="288">
      <c r="B288" s="490"/>
    </row>
    <row r="289">
      <c r="B289" s="490"/>
    </row>
    <row r="290">
      <c r="B290" s="490"/>
    </row>
    <row r="291">
      <c r="B291" s="490"/>
    </row>
    <row r="292">
      <c r="B292" s="490"/>
    </row>
    <row r="293">
      <c r="B293" s="490"/>
    </row>
    <row r="294">
      <c r="B294" s="490"/>
    </row>
    <row r="295">
      <c r="B295" s="490"/>
    </row>
    <row r="296">
      <c r="B296" s="490"/>
    </row>
    <row r="297">
      <c r="B297" s="490"/>
    </row>
    <row r="298">
      <c r="B298" s="490"/>
    </row>
    <row r="299">
      <c r="B299" s="490"/>
    </row>
    <row r="300">
      <c r="B300" s="490"/>
    </row>
    <row r="301">
      <c r="B301" s="490"/>
    </row>
    <row r="302">
      <c r="B302" s="490"/>
    </row>
    <row r="303">
      <c r="B303" s="490"/>
    </row>
    <row r="304">
      <c r="B304" s="490"/>
    </row>
    <row r="305">
      <c r="B305" s="490"/>
    </row>
    <row r="306">
      <c r="B306" s="490"/>
    </row>
    <row r="307">
      <c r="B307" s="490"/>
    </row>
    <row r="308">
      <c r="B308" s="490"/>
    </row>
    <row r="309">
      <c r="B309" s="490"/>
    </row>
    <row r="310">
      <c r="B310" s="490"/>
    </row>
    <row r="311">
      <c r="B311" s="490"/>
    </row>
    <row r="312">
      <c r="B312" s="490"/>
    </row>
    <row r="313">
      <c r="B313" s="490"/>
    </row>
    <row r="314">
      <c r="B314" s="490"/>
    </row>
    <row r="315">
      <c r="B315" s="490"/>
    </row>
    <row r="316">
      <c r="B316" s="490"/>
    </row>
    <row r="317">
      <c r="B317" s="490"/>
    </row>
    <row r="318">
      <c r="B318" s="490"/>
    </row>
    <row r="319">
      <c r="B319" s="490"/>
    </row>
    <row r="320">
      <c r="B320" s="490"/>
    </row>
    <row r="321">
      <c r="B321" s="490"/>
    </row>
    <row r="322">
      <c r="B322" s="490"/>
    </row>
    <row r="323">
      <c r="B323" s="490"/>
    </row>
    <row r="324">
      <c r="B324" s="490"/>
    </row>
    <row r="325">
      <c r="B325" s="490"/>
    </row>
    <row r="326">
      <c r="B326" s="490"/>
    </row>
    <row r="327">
      <c r="B327" s="490"/>
    </row>
    <row r="328">
      <c r="B328" s="490"/>
    </row>
    <row r="329">
      <c r="B329" s="490"/>
    </row>
    <row r="330">
      <c r="B330" s="490"/>
    </row>
    <row r="331">
      <c r="B331" s="490"/>
    </row>
    <row r="332">
      <c r="B332" s="490"/>
    </row>
    <row r="333">
      <c r="B333" s="490"/>
    </row>
    <row r="334">
      <c r="B334" s="490"/>
    </row>
    <row r="335">
      <c r="B335" s="490"/>
    </row>
    <row r="336">
      <c r="B336" s="490"/>
    </row>
    <row r="337">
      <c r="B337" s="490"/>
    </row>
    <row r="338">
      <c r="B338" s="490"/>
    </row>
    <row r="339">
      <c r="B339" s="490"/>
    </row>
    <row r="340">
      <c r="B340" s="490"/>
    </row>
    <row r="341">
      <c r="B341" s="490"/>
    </row>
    <row r="342">
      <c r="B342" s="490"/>
    </row>
    <row r="343">
      <c r="B343" s="490"/>
    </row>
    <row r="344">
      <c r="B344" s="490"/>
    </row>
    <row r="345">
      <c r="B345" s="490"/>
    </row>
    <row r="346">
      <c r="B346" s="490"/>
    </row>
    <row r="347">
      <c r="B347" s="490"/>
    </row>
    <row r="348">
      <c r="B348" s="490"/>
    </row>
    <row r="349">
      <c r="B349" s="490"/>
    </row>
    <row r="350">
      <c r="B350" s="490"/>
    </row>
    <row r="351">
      <c r="B351" s="490"/>
    </row>
    <row r="352">
      <c r="B352" s="490"/>
    </row>
    <row r="353">
      <c r="B353" s="490"/>
    </row>
    <row r="354">
      <c r="B354" s="490"/>
    </row>
    <row r="355">
      <c r="B355" s="490"/>
    </row>
    <row r="356">
      <c r="B356" s="490"/>
    </row>
    <row r="357">
      <c r="B357" s="490"/>
    </row>
    <row r="358">
      <c r="B358" s="490"/>
    </row>
    <row r="359">
      <c r="B359" s="490"/>
    </row>
    <row r="360">
      <c r="B360" s="490"/>
    </row>
    <row r="361">
      <c r="B361" s="490"/>
    </row>
    <row r="362">
      <c r="B362" s="490"/>
    </row>
    <row r="363">
      <c r="B363" s="490"/>
    </row>
    <row r="364">
      <c r="B364" s="490"/>
    </row>
    <row r="365">
      <c r="B365" s="490"/>
    </row>
    <row r="366">
      <c r="B366" s="490"/>
    </row>
    <row r="367">
      <c r="B367" s="490"/>
    </row>
    <row r="368">
      <c r="B368" s="490"/>
    </row>
    <row r="369">
      <c r="B369" s="490"/>
    </row>
    <row r="370">
      <c r="B370" s="490"/>
    </row>
    <row r="371">
      <c r="B371" s="490"/>
    </row>
    <row r="372">
      <c r="B372" s="490"/>
    </row>
    <row r="373">
      <c r="B373" s="490"/>
    </row>
    <row r="374">
      <c r="B374" s="490"/>
    </row>
    <row r="375">
      <c r="B375" s="490"/>
    </row>
    <row r="376">
      <c r="B376" s="490"/>
    </row>
    <row r="377">
      <c r="B377" s="490"/>
    </row>
    <row r="378">
      <c r="B378" s="490"/>
    </row>
    <row r="379">
      <c r="B379" s="490"/>
    </row>
    <row r="380">
      <c r="B380" s="490"/>
    </row>
    <row r="381">
      <c r="B381" s="490"/>
    </row>
    <row r="382">
      <c r="B382" s="490"/>
    </row>
    <row r="383">
      <c r="B383" s="490"/>
    </row>
    <row r="384">
      <c r="B384" s="490"/>
    </row>
    <row r="385">
      <c r="B385" s="490"/>
    </row>
    <row r="386">
      <c r="B386" s="490"/>
    </row>
    <row r="387">
      <c r="B387" s="490"/>
    </row>
    <row r="388">
      <c r="B388" s="490"/>
    </row>
    <row r="389">
      <c r="B389" s="490"/>
    </row>
    <row r="390">
      <c r="B390" s="490"/>
    </row>
    <row r="391">
      <c r="B391" s="490"/>
    </row>
    <row r="392">
      <c r="B392" s="490"/>
    </row>
    <row r="393">
      <c r="B393" s="490"/>
    </row>
    <row r="394">
      <c r="B394" s="490"/>
    </row>
    <row r="395">
      <c r="B395" s="490"/>
    </row>
    <row r="396">
      <c r="B396" s="490"/>
    </row>
    <row r="397">
      <c r="B397" s="490"/>
    </row>
    <row r="398">
      <c r="B398" s="490"/>
    </row>
    <row r="399">
      <c r="B399" s="490"/>
    </row>
    <row r="400">
      <c r="B400" s="490"/>
    </row>
    <row r="401">
      <c r="B401" s="490"/>
    </row>
    <row r="402">
      <c r="B402" s="490"/>
    </row>
    <row r="403">
      <c r="B403" s="490"/>
    </row>
    <row r="404">
      <c r="B404" s="490"/>
    </row>
    <row r="405">
      <c r="B405" s="490"/>
    </row>
    <row r="406">
      <c r="B406" s="490"/>
    </row>
    <row r="407">
      <c r="B407" s="490"/>
    </row>
    <row r="408">
      <c r="B408" s="490"/>
    </row>
    <row r="409">
      <c r="B409" s="490"/>
    </row>
    <row r="410">
      <c r="B410" s="490"/>
    </row>
    <row r="411">
      <c r="B411" s="490"/>
    </row>
    <row r="412">
      <c r="B412" s="490"/>
    </row>
    <row r="413">
      <c r="B413" s="490"/>
    </row>
    <row r="414">
      <c r="B414" s="490"/>
    </row>
    <row r="415">
      <c r="B415" s="490"/>
    </row>
    <row r="416">
      <c r="B416" s="490"/>
    </row>
    <row r="417">
      <c r="B417" s="490"/>
    </row>
    <row r="418">
      <c r="B418" s="490"/>
    </row>
    <row r="419">
      <c r="B419" s="490"/>
    </row>
    <row r="420">
      <c r="B420" s="490"/>
    </row>
    <row r="421">
      <c r="B421" s="490"/>
    </row>
    <row r="422">
      <c r="B422" s="490"/>
    </row>
    <row r="423">
      <c r="B423" s="490"/>
    </row>
    <row r="424">
      <c r="B424" s="490"/>
    </row>
    <row r="425">
      <c r="B425" s="490"/>
    </row>
    <row r="426">
      <c r="B426" s="490"/>
    </row>
    <row r="427">
      <c r="B427" s="490"/>
    </row>
    <row r="428">
      <c r="B428" s="490"/>
    </row>
    <row r="429">
      <c r="B429" s="490"/>
    </row>
    <row r="430">
      <c r="B430" s="490"/>
    </row>
    <row r="431">
      <c r="B431" s="490"/>
    </row>
    <row r="432">
      <c r="B432" s="490"/>
    </row>
    <row r="433">
      <c r="B433" s="490"/>
    </row>
    <row r="434">
      <c r="B434" s="490"/>
    </row>
    <row r="435">
      <c r="B435" s="490"/>
    </row>
    <row r="436">
      <c r="B436" s="490"/>
    </row>
    <row r="437">
      <c r="B437" s="490"/>
    </row>
    <row r="438">
      <c r="B438" s="490"/>
    </row>
    <row r="439">
      <c r="B439" s="490"/>
    </row>
    <row r="440">
      <c r="B440" s="490"/>
    </row>
    <row r="441">
      <c r="B441" s="490"/>
    </row>
    <row r="442">
      <c r="B442" s="490"/>
    </row>
    <row r="443">
      <c r="B443" s="490"/>
    </row>
    <row r="444">
      <c r="B444" s="490"/>
    </row>
    <row r="445">
      <c r="B445" s="490"/>
    </row>
    <row r="446">
      <c r="B446" s="490"/>
    </row>
    <row r="447">
      <c r="B447" s="490"/>
    </row>
    <row r="448">
      <c r="B448" s="490"/>
    </row>
    <row r="449">
      <c r="B449" s="490"/>
    </row>
    <row r="450">
      <c r="B450" s="490"/>
    </row>
    <row r="451">
      <c r="B451" s="490"/>
    </row>
    <row r="452">
      <c r="B452" s="490"/>
    </row>
    <row r="453">
      <c r="B453" s="490"/>
    </row>
    <row r="454">
      <c r="B454" s="490"/>
    </row>
    <row r="455">
      <c r="B455" s="490"/>
    </row>
    <row r="456">
      <c r="B456" s="490"/>
    </row>
    <row r="457">
      <c r="B457" s="490"/>
    </row>
    <row r="458">
      <c r="B458" s="490"/>
    </row>
    <row r="459">
      <c r="B459" s="490"/>
    </row>
    <row r="460">
      <c r="B460" s="490"/>
    </row>
    <row r="461">
      <c r="B461" s="490"/>
    </row>
    <row r="462">
      <c r="B462" s="490"/>
    </row>
    <row r="463">
      <c r="B463" s="490"/>
    </row>
    <row r="464">
      <c r="B464" s="490"/>
    </row>
    <row r="465">
      <c r="B465" s="490"/>
    </row>
    <row r="466">
      <c r="B466" s="490"/>
    </row>
    <row r="467">
      <c r="B467" s="490"/>
    </row>
    <row r="468">
      <c r="B468" s="490"/>
    </row>
    <row r="469">
      <c r="B469" s="490"/>
    </row>
    <row r="470">
      <c r="B470" s="490"/>
    </row>
    <row r="471">
      <c r="B471" s="490"/>
    </row>
    <row r="472">
      <c r="B472" s="490"/>
    </row>
    <row r="473">
      <c r="B473" s="490"/>
    </row>
    <row r="474">
      <c r="B474" s="490"/>
    </row>
    <row r="475">
      <c r="B475" s="490"/>
    </row>
    <row r="476">
      <c r="B476" s="490"/>
    </row>
    <row r="477">
      <c r="B477" s="490"/>
    </row>
    <row r="478">
      <c r="B478" s="490"/>
    </row>
    <row r="479">
      <c r="B479" s="490"/>
    </row>
    <row r="480">
      <c r="B480" s="490"/>
    </row>
    <row r="481">
      <c r="B481" s="490"/>
    </row>
    <row r="482">
      <c r="B482" s="490"/>
    </row>
    <row r="483">
      <c r="B483" s="490"/>
    </row>
    <row r="484">
      <c r="B484" s="490"/>
    </row>
    <row r="485">
      <c r="B485" s="490"/>
    </row>
    <row r="486">
      <c r="B486" s="490"/>
    </row>
    <row r="487">
      <c r="B487" s="490"/>
    </row>
    <row r="488">
      <c r="B488" s="490"/>
    </row>
    <row r="489">
      <c r="B489" s="490"/>
    </row>
    <row r="490">
      <c r="B490" s="490"/>
    </row>
    <row r="491">
      <c r="B491" s="490"/>
    </row>
    <row r="492">
      <c r="B492" s="490"/>
    </row>
    <row r="493">
      <c r="B493" s="490"/>
    </row>
    <row r="494">
      <c r="B494" s="490"/>
    </row>
    <row r="495">
      <c r="B495" s="490"/>
    </row>
    <row r="496">
      <c r="B496" s="490"/>
    </row>
    <row r="497">
      <c r="B497" s="490"/>
    </row>
    <row r="498">
      <c r="B498" s="490"/>
    </row>
    <row r="499">
      <c r="B499" s="490"/>
    </row>
    <row r="500">
      <c r="B500" s="490"/>
    </row>
    <row r="501">
      <c r="B501" s="490"/>
    </row>
    <row r="502">
      <c r="B502" s="490"/>
    </row>
    <row r="503">
      <c r="B503" s="490"/>
    </row>
    <row r="504">
      <c r="B504" s="490"/>
    </row>
    <row r="505">
      <c r="B505" s="490"/>
    </row>
    <row r="506">
      <c r="B506" s="490"/>
    </row>
    <row r="507">
      <c r="B507" s="490"/>
    </row>
    <row r="508">
      <c r="B508" s="490"/>
    </row>
    <row r="509">
      <c r="B509" s="490"/>
    </row>
    <row r="510">
      <c r="B510" s="490"/>
    </row>
    <row r="511">
      <c r="B511" s="490"/>
    </row>
    <row r="512">
      <c r="B512" s="490"/>
    </row>
    <row r="513">
      <c r="B513" s="490"/>
    </row>
    <row r="514">
      <c r="B514" s="490"/>
    </row>
    <row r="515">
      <c r="B515" s="490"/>
    </row>
    <row r="516">
      <c r="B516" s="490"/>
    </row>
    <row r="517">
      <c r="B517" s="490"/>
    </row>
    <row r="518">
      <c r="B518" s="490"/>
    </row>
    <row r="519">
      <c r="B519" s="490"/>
    </row>
    <row r="520">
      <c r="B520" s="490"/>
    </row>
    <row r="521">
      <c r="B521" s="490"/>
    </row>
    <row r="522">
      <c r="B522" s="490"/>
    </row>
    <row r="523">
      <c r="B523" s="490"/>
    </row>
    <row r="524">
      <c r="B524" s="490"/>
    </row>
    <row r="525">
      <c r="B525" s="490"/>
    </row>
    <row r="526">
      <c r="B526" s="490"/>
    </row>
    <row r="527">
      <c r="B527" s="490"/>
    </row>
    <row r="528">
      <c r="B528" s="490"/>
    </row>
    <row r="529">
      <c r="B529" s="490"/>
    </row>
    <row r="530">
      <c r="B530" s="490"/>
    </row>
    <row r="531">
      <c r="B531" s="490"/>
    </row>
    <row r="532">
      <c r="B532" s="490"/>
    </row>
    <row r="533">
      <c r="B533" s="490"/>
    </row>
    <row r="534">
      <c r="B534" s="490"/>
    </row>
    <row r="535">
      <c r="B535" s="490"/>
    </row>
    <row r="536">
      <c r="B536" s="490"/>
    </row>
    <row r="537">
      <c r="B537" s="490"/>
    </row>
    <row r="538">
      <c r="B538" s="490"/>
    </row>
    <row r="539">
      <c r="B539" s="490"/>
    </row>
    <row r="540">
      <c r="B540" s="490"/>
    </row>
    <row r="541">
      <c r="B541" s="490"/>
    </row>
    <row r="542">
      <c r="B542" s="490"/>
    </row>
    <row r="543">
      <c r="B543" s="490"/>
    </row>
    <row r="544">
      <c r="B544" s="490"/>
    </row>
    <row r="545">
      <c r="B545" s="490"/>
    </row>
    <row r="546">
      <c r="B546" s="490"/>
    </row>
    <row r="547">
      <c r="B547" s="490"/>
    </row>
    <row r="548">
      <c r="B548" s="490"/>
    </row>
    <row r="549">
      <c r="B549" s="490"/>
    </row>
    <row r="550">
      <c r="B550" s="490"/>
    </row>
    <row r="551">
      <c r="B551" s="490"/>
    </row>
    <row r="552">
      <c r="B552" s="490"/>
    </row>
    <row r="553">
      <c r="B553" s="490"/>
    </row>
    <row r="554">
      <c r="B554" s="490"/>
    </row>
    <row r="555">
      <c r="B555" s="490"/>
    </row>
    <row r="556">
      <c r="B556" s="490"/>
    </row>
    <row r="557">
      <c r="B557" s="490"/>
    </row>
    <row r="558">
      <c r="B558" s="490"/>
    </row>
    <row r="559">
      <c r="B559" s="490"/>
    </row>
    <row r="560">
      <c r="B560" s="490"/>
    </row>
    <row r="561">
      <c r="B561" s="490"/>
    </row>
    <row r="562">
      <c r="B562" s="490"/>
    </row>
    <row r="563">
      <c r="B563" s="490"/>
    </row>
    <row r="564">
      <c r="B564" s="490"/>
    </row>
    <row r="565">
      <c r="B565" s="490"/>
    </row>
    <row r="566">
      <c r="B566" s="490"/>
    </row>
    <row r="567">
      <c r="B567" s="490"/>
    </row>
    <row r="568">
      <c r="B568" s="490"/>
    </row>
    <row r="569">
      <c r="B569" s="490"/>
    </row>
    <row r="570">
      <c r="B570" s="490"/>
    </row>
    <row r="571">
      <c r="B571" s="490"/>
    </row>
    <row r="572">
      <c r="B572" s="490"/>
    </row>
    <row r="573">
      <c r="B573" s="490"/>
    </row>
    <row r="574">
      <c r="B574" s="490"/>
    </row>
    <row r="575">
      <c r="B575" s="490"/>
    </row>
    <row r="576">
      <c r="B576" s="490"/>
    </row>
    <row r="577">
      <c r="B577" s="490"/>
    </row>
    <row r="578">
      <c r="B578" s="490"/>
    </row>
    <row r="579">
      <c r="B579" s="490"/>
    </row>
    <row r="580">
      <c r="B580" s="490"/>
    </row>
    <row r="581">
      <c r="B581" s="490"/>
    </row>
    <row r="582">
      <c r="B582" s="490"/>
    </row>
    <row r="583">
      <c r="B583" s="490"/>
    </row>
    <row r="584">
      <c r="B584" s="490"/>
    </row>
    <row r="585">
      <c r="B585" s="490"/>
    </row>
    <row r="586">
      <c r="B586" s="490"/>
    </row>
    <row r="587">
      <c r="B587" s="490"/>
    </row>
    <row r="588">
      <c r="B588" s="490"/>
    </row>
    <row r="589">
      <c r="B589" s="490"/>
    </row>
    <row r="590">
      <c r="B590" s="490"/>
    </row>
    <row r="591">
      <c r="B591" s="490"/>
    </row>
    <row r="592">
      <c r="B592" s="490"/>
    </row>
    <row r="593">
      <c r="B593" s="490"/>
    </row>
    <row r="594">
      <c r="B594" s="490"/>
    </row>
    <row r="595">
      <c r="B595" s="490"/>
    </row>
    <row r="596">
      <c r="B596" s="490"/>
    </row>
    <row r="597">
      <c r="B597" s="490"/>
    </row>
    <row r="598">
      <c r="B598" s="490"/>
    </row>
    <row r="599">
      <c r="B599" s="490"/>
    </row>
    <row r="600">
      <c r="B600" s="490"/>
    </row>
    <row r="601">
      <c r="B601" s="490"/>
    </row>
    <row r="602">
      <c r="B602" s="490"/>
    </row>
    <row r="603">
      <c r="B603" s="490"/>
    </row>
    <row r="604">
      <c r="B604" s="490"/>
    </row>
    <row r="605">
      <c r="B605" s="490"/>
    </row>
    <row r="606">
      <c r="B606" s="490"/>
    </row>
    <row r="607">
      <c r="B607" s="490"/>
    </row>
    <row r="608">
      <c r="B608" s="490"/>
    </row>
    <row r="609">
      <c r="B609" s="490"/>
    </row>
    <row r="610">
      <c r="B610" s="490"/>
    </row>
    <row r="611">
      <c r="B611" s="490"/>
    </row>
    <row r="612">
      <c r="B612" s="490"/>
    </row>
    <row r="613">
      <c r="B613" s="490"/>
    </row>
    <row r="614">
      <c r="B614" s="490"/>
    </row>
    <row r="615">
      <c r="B615" s="490"/>
    </row>
    <row r="616">
      <c r="B616" s="490"/>
    </row>
    <row r="617">
      <c r="B617" s="490"/>
    </row>
    <row r="618">
      <c r="B618" s="490"/>
    </row>
    <row r="619">
      <c r="B619" s="490"/>
    </row>
    <row r="620">
      <c r="B620" s="490"/>
    </row>
    <row r="621">
      <c r="B621" s="490"/>
    </row>
    <row r="622">
      <c r="B622" s="490"/>
    </row>
    <row r="623">
      <c r="B623" s="490"/>
    </row>
    <row r="624">
      <c r="B624" s="490"/>
    </row>
    <row r="625">
      <c r="B625" s="490"/>
    </row>
    <row r="626">
      <c r="B626" s="490"/>
    </row>
    <row r="627">
      <c r="B627" s="490"/>
    </row>
    <row r="628">
      <c r="B628" s="490"/>
    </row>
    <row r="629">
      <c r="B629" s="490"/>
    </row>
    <row r="630">
      <c r="B630" s="490"/>
    </row>
    <row r="631">
      <c r="B631" s="490"/>
    </row>
    <row r="632">
      <c r="B632" s="490"/>
    </row>
    <row r="633">
      <c r="B633" s="490"/>
    </row>
    <row r="634">
      <c r="B634" s="490"/>
    </row>
    <row r="635">
      <c r="B635" s="490"/>
    </row>
    <row r="636">
      <c r="B636" s="490"/>
    </row>
    <row r="637">
      <c r="B637" s="490"/>
    </row>
    <row r="638">
      <c r="B638" s="490"/>
    </row>
    <row r="639">
      <c r="B639" s="490"/>
    </row>
    <row r="640">
      <c r="B640" s="490"/>
    </row>
    <row r="641">
      <c r="B641" s="490"/>
    </row>
    <row r="642">
      <c r="B642" s="490"/>
    </row>
    <row r="643">
      <c r="B643" s="490"/>
    </row>
    <row r="644">
      <c r="B644" s="490"/>
    </row>
    <row r="645">
      <c r="B645" s="490"/>
    </row>
    <row r="646">
      <c r="B646" s="490"/>
    </row>
    <row r="647">
      <c r="B647" s="490"/>
    </row>
    <row r="648">
      <c r="B648" s="490"/>
    </row>
    <row r="649">
      <c r="B649" s="490"/>
    </row>
    <row r="650">
      <c r="B650" s="490"/>
    </row>
    <row r="651">
      <c r="B651" s="490"/>
    </row>
    <row r="652">
      <c r="B652" s="490"/>
    </row>
    <row r="653">
      <c r="B653" s="490"/>
    </row>
    <row r="654">
      <c r="B654" s="490"/>
    </row>
    <row r="655">
      <c r="B655" s="490"/>
    </row>
    <row r="656">
      <c r="B656" s="490"/>
    </row>
    <row r="657">
      <c r="B657" s="490"/>
    </row>
    <row r="658">
      <c r="B658" s="490"/>
    </row>
    <row r="659">
      <c r="B659" s="490"/>
    </row>
    <row r="660">
      <c r="B660" s="490"/>
    </row>
    <row r="661">
      <c r="B661" s="490"/>
    </row>
    <row r="662">
      <c r="B662" s="490"/>
    </row>
    <row r="663">
      <c r="B663" s="490"/>
    </row>
    <row r="664">
      <c r="B664" s="490"/>
    </row>
    <row r="665">
      <c r="B665" s="490"/>
    </row>
    <row r="666">
      <c r="B666" s="490"/>
    </row>
    <row r="667">
      <c r="B667" s="490"/>
    </row>
    <row r="668">
      <c r="B668" s="490"/>
    </row>
    <row r="669">
      <c r="B669" s="490"/>
    </row>
    <row r="670">
      <c r="B670" s="490"/>
    </row>
    <row r="671">
      <c r="B671" s="490"/>
    </row>
    <row r="672">
      <c r="B672" s="490"/>
    </row>
    <row r="673">
      <c r="B673" s="490"/>
    </row>
    <row r="674">
      <c r="B674" s="490"/>
    </row>
    <row r="675">
      <c r="B675" s="490"/>
    </row>
    <row r="676">
      <c r="B676" s="490"/>
    </row>
    <row r="677">
      <c r="B677" s="490"/>
    </row>
    <row r="678">
      <c r="B678" s="490"/>
    </row>
    <row r="679">
      <c r="B679" s="490"/>
    </row>
    <row r="680">
      <c r="B680" s="490"/>
    </row>
    <row r="681">
      <c r="B681" s="490"/>
    </row>
    <row r="682">
      <c r="B682" s="490"/>
    </row>
    <row r="683">
      <c r="B683" s="490"/>
    </row>
    <row r="684">
      <c r="B684" s="490"/>
    </row>
    <row r="685">
      <c r="B685" s="490"/>
    </row>
    <row r="686">
      <c r="B686" s="490"/>
    </row>
    <row r="687">
      <c r="B687" s="490"/>
    </row>
    <row r="688">
      <c r="B688" s="490"/>
    </row>
    <row r="689">
      <c r="B689" s="490"/>
    </row>
    <row r="690">
      <c r="B690" s="490"/>
    </row>
    <row r="691">
      <c r="B691" s="490"/>
    </row>
    <row r="692">
      <c r="B692" s="490"/>
    </row>
    <row r="693">
      <c r="B693" s="490"/>
    </row>
    <row r="694">
      <c r="B694" s="490"/>
    </row>
    <row r="695">
      <c r="B695" s="490"/>
    </row>
    <row r="696">
      <c r="B696" s="490"/>
    </row>
    <row r="697">
      <c r="B697" s="490"/>
    </row>
    <row r="698">
      <c r="B698" s="490"/>
    </row>
    <row r="699">
      <c r="B699" s="490"/>
    </row>
    <row r="700">
      <c r="B700" s="490"/>
    </row>
    <row r="701">
      <c r="B701" s="490"/>
    </row>
    <row r="702">
      <c r="B702" s="490"/>
    </row>
    <row r="703">
      <c r="B703" s="490"/>
    </row>
    <row r="704">
      <c r="B704" s="490"/>
    </row>
    <row r="705">
      <c r="B705" s="490"/>
    </row>
    <row r="706">
      <c r="B706" s="490"/>
    </row>
    <row r="707">
      <c r="B707" s="490"/>
    </row>
    <row r="708">
      <c r="B708" s="490"/>
    </row>
    <row r="709">
      <c r="B709" s="490"/>
    </row>
    <row r="710">
      <c r="B710" s="490"/>
    </row>
    <row r="711">
      <c r="B711" s="490"/>
    </row>
    <row r="712">
      <c r="B712" s="490"/>
    </row>
    <row r="713">
      <c r="B713" s="490"/>
    </row>
    <row r="714">
      <c r="B714" s="490"/>
    </row>
    <row r="715">
      <c r="B715" s="490"/>
    </row>
    <row r="716">
      <c r="B716" s="490"/>
    </row>
    <row r="717">
      <c r="B717" s="490"/>
    </row>
    <row r="718">
      <c r="B718" s="490"/>
    </row>
    <row r="719">
      <c r="B719" s="490"/>
    </row>
    <row r="720">
      <c r="B720" s="490"/>
    </row>
    <row r="721">
      <c r="B721" s="490"/>
    </row>
    <row r="722">
      <c r="B722" s="490"/>
    </row>
    <row r="723">
      <c r="B723" s="490"/>
    </row>
    <row r="724">
      <c r="B724" s="490"/>
    </row>
    <row r="725">
      <c r="B725" s="490"/>
    </row>
    <row r="726">
      <c r="B726" s="490"/>
    </row>
    <row r="727">
      <c r="B727" s="490"/>
    </row>
    <row r="728">
      <c r="B728" s="490"/>
    </row>
    <row r="729">
      <c r="B729" s="490"/>
    </row>
    <row r="730">
      <c r="B730" s="490"/>
    </row>
    <row r="731">
      <c r="B731" s="490"/>
    </row>
    <row r="732">
      <c r="B732" s="490"/>
    </row>
    <row r="733">
      <c r="B733" s="490"/>
    </row>
    <row r="734">
      <c r="B734" s="490"/>
    </row>
    <row r="735">
      <c r="B735" s="490"/>
    </row>
    <row r="736">
      <c r="B736" s="490"/>
    </row>
    <row r="737">
      <c r="B737" s="490"/>
    </row>
    <row r="738">
      <c r="B738" s="490"/>
    </row>
    <row r="739">
      <c r="B739" s="490"/>
    </row>
    <row r="740">
      <c r="B740" s="490"/>
    </row>
    <row r="741">
      <c r="B741" s="490"/>
    </row>
    <row r="742">
      <c r="B742" s="490"/>
    </row>
    <row r="743">
      <c r="B743" s="490"/>
    </row>
    <row r="744">
      <c r="B744" s="490"/>
    </row>
    <row r="745">
      <c r="B745" s="490"/>
    </row>
    <row r="746">
      <c r="B746" s="490"/>
    </row>
    <row r="747">
      <c r="B747" s="490"/>
    </row>
    <row r="748">
      <c r="B748" s="490"/>
    </row>
    <row r="749">
      <c r="B749" s="490"/>
    </row>
    <row r="750">
      <c r="B750" s="490"/>
    </row>
    <row r="751">
      <c r="B751" s="490"/>
    </row>
    <row r="752">
      <c r="B752" s="490"/>
    </row>
    <row r="753">
      <c r="B753" s="490"/>
    </row>
    <row r="754">
      <c r="B754" s="490"/>
    </row>
    <row r="755">
      <c r="B755" s="490"/>
    </row>
    <row r="756">
      <c r="B756" s="490"/>
    </row>
    <row r="757">
      <c r="B757" s="490"/>
    </row>
    <row r="758">
      <c r="B758" s="490"/>
    </row>
    <row r="759">
      <c r="B759" s="490"/>
    </row>
    <row r="760">
      <c r="B760" s="490"/>
    </row>
    <row r="761">
      <c r="B761" s="490"/>
    </row>
    <row r="762">
      <c r="B762" s="490"/>
    </row>
    <row r="763">
      <c r="B763" s="490"/>
    </row>
    <row r="764">
      <c r="B764" s="490"/>
    </row>
    <row r="765">
      <c r="B765" s="490"/>
    </row>
    <row r="766">
      <c r="B766" s="490"/>
    </row>
    <row r="767">
      <c r="B767" s="490"/>
    </row>
    <row r="768">
      <c r="B768" s="490"/>
    </row>
    <row r="769">
      <c r="B769" s="490"/>
    </row>
    <row r="770">
      <c r="B770" s="490"/>
    </row>
    <row r="771">
      <c r="B771" s="490"/>
    </row>
    <row r="772">
      <c r="B772" s="490"/>
    </row>
    <row r="773">
      <c r="B773" s="490"/>
    </row>
    <row r="774">
      <c r="B774" s="490"/>
    </row>
    <row r="775">
      <c r="B775" s="490"/>
    </row>
    <row r="776">
      <c r="B776" s="490"/>
    </row>
    <row r="777">
      <c r="B777" s="490"/>
    </row>
    <row r="778">
      <c r="B778" s="490"/>
    </row>
    <row r="779">
      <c r="B779" s="490"/>
    </row>
    <row r="780">
      <c r="B780" s="490"/>
    </row>
    <row r="781">
      <c r="B781" s="490"/>
    </row>
    <row r="782">
      <c r="B782" s="490"/>
    </row>
    <row r="783">
      <c r="B783" s="490"/>
    </row>
    <row r="784">
      <c r="B784" s="490"/>
    </row>
    <row r="785">
      <c r="B785" s="490"/>
    </row>
    <row r="786">
      <c r="B786" s="490"/>
    </row>
    <row r="787">
      <c r="B787" s="490"/>
    </row>
    <row r="788">
      <c r="B788" s="490"/>
    </row>
    <row r="789">
      <c r="B789" s="490"/>
    </row>
    <row r="790">
      <c r="B790" s="490"/>
    </row>
    <row r="791">
      <c r="B791" s="490"/>
    </row>
    <row r="792">
      <c r="B792" s="490"/>
    </row>
    <row r="793">
      <c r="B793" s="490"/>
    </row>
    <row r="794">
      <c r="B794" s="490"/>
    </row>
    <row r="795">
      <c r="B795" s="490"/>
    </row>
    <row r="796">
      <c r="B796" s="490"/>
    </row>
    <row r="797">
      <c r="B797" s="490"/>
    </row>
    <row r="798">
      <c r="B798" s="490"/>
    </row>
    <row r="799">
      <c r="B799" s="490"/>
    </row>
    <row r="800">
      <c r="B800" s="490"/>
    </row>
    <row r="801">
      <c r="B801" s="490"/>
    </row>
    <row r="802">
      <c r="B802" s="490"/>
    </row>
    <row r="803">
      <c r="B803" s="490"/>
    </row>
    <row r="804">
      <c r="B804" s="490"/>
    </row>
    <row r="805">
      <c r="B805" s="490"/>
    </row>
    <row r="806">
      <c r="B806" s="490"/>
    </row>
    <row r="807">
      <c r="B807" s="490"/>
    </row>
    <row r="808">
      <c r="B808" s="490"/>
    </row>
    <row r="809">
      <c r="B809" s="490"/>
    </row>
    <row r="810">
      <c r="B810" s="490"/>
    </row>
    <row r="811">
      <c r="B811" s="490"/>
    </row>
    <row r="812">
      <c r="B812" s="490"/>
    </row>
    <row r="813">
      <c r="B813" s="490"/>
    </row>
    <row r="814">
      <c r="B814" s="490"/>
    </row>
    <row r="815">
      <c r="B815" s="490"/>
    </row>
    <row r="816">
      <c r="B816" s="490"/>
    </row>
    <row r="817">
      <c r="B817" s="490"/>
    </row>
    <row r="818">
      <c r="B818" s="490"/>
    </row>
    <row r="819">
      <c r="B819" s="490"/>
    </row>
    <row r="820">
      <c r="B820" s="490"/>
    </row>
    <row r="821">
      <c r="B821" s="490"/>
    </row>
    <row r="822">
      <c r="B822" s="490"/>
    </row>
    <row r="823">
      <c r="B823" s="490"/>
    </row>
    <row r="824">
      <c r="B824" s="490"/>
    </row>
    <row r="825">
      <c r="B825" s="490"/>
    </row>
    <row r="826">
      <c r="B826" s="490"/>
    </row>
    <row r="827">
      <c r="B827" s="490"/>
    </row>
    <row r="828">
      <c r="B828" s="490"/>
    </row>
    <row r="829">
      <c r="B829" s="490"/>
    </row>
    <row r="830">
      <c r="B830" s="490"/>
    </row>
    <row r="831">
      <c r="B831" s="490"/>
    </row>
    <row r="832">
      <c r="B832" s="490"/>
    </row>
    <row r="833">
      <c r="B833" s="490"/>
    </row>
    <row r="834">
      <c r="B834" s="490"/>
    </row>
    <row r="835">
      <c r="B835" s="490"/>
    </row>
    <row r="836">
      <c r="B836" s="490"/>
    </row>
    <row r="837">
      <c r="B837" s="490"/>
    </row>
    <row r="838">
      <c r="B838" s="490"/>
    </row>
    <row r="839">
      <c r="B839" s="490"/>
    </row>
    <row r="840">
      <c r="B840" s="490"/>
    </row>
    <row r="841">
      <c r="B841" s="490"/>
    </row>
    <row r="842">
      <c r="B842" s="490"/>
    </row>
    <row r="843">
      <c r="B843" s="490"/>
    </row>
    <row r="844">
      <c r="B844" s="490"/>
    </row>
    <row r="845">
      <c r="B845" s="490"/>
    </row>
    <row r="846">
      <c r="B846" s="490"/>
    </row>
    <row r="847">
      <c r="B847" s="490"/>
    </row>
    <row r="848">
      <c r="B848" s="490"/>
    </row>
    <row r="849">
      <c r="B849" s="490"/>
    </row>
    <row r="850">
      <c r="B850" s="490"/>
    </row>
    <row r="851">
      <c r="B851" s="490"/>
    </row>
    <row r="852">
      <c r="B852" s="490"/>
    </row>
    <row r="853">
      <c r="B853" s="490"/>
    </row>
    <row r="854">
      <c r="B854" s="490"/>
    </row>
    <row r="855">
      <c r="B855" s="490"/>
    </row>
    <row r="856">
      <c r="B856" s="490"/>
    </row>
    <row r="857">
      <c r="B857" s="490"/>
    </row>
    <row r="858">
      <c r="B858" s="490"/>
    </row>
    <row r="859">
      <c r="B859" s="490"/>
    </row>
    <row r="860">
      <c r="B860" s="490"/>
    </row>
    <row r="861">
      <c r="B861" s="490"/>
    </row>
    <row r="862">
      <c r="B862" s="490"/>
    </row>
    <row r="863">
      <c r="B863" s="490"/>
    </row>
    <row r="864">
      <c r="B864" s="490"/>
    </row>
    <row r="865">
      <c r="B865" s="490"/>
    </row>
    <row r="866">
      <c r="B866" s="490"/>
    </row>
    <row r="867">
      <c r="B867" s="490"/>
    </row>
    <row r="868">
      <c r="B868" s="490"/>
    </row>
    <row r="869">
      <c r="B869" s="490"/>
    </row>
    <row r="870">
      <c r="B870" s="490"/>
    </row>
    <row r="871">
      <c r="B871" s="490"/>
    </row>
    <row r="872">
      <c r="B872" s="490"/>
    </row>
    <row r="873">
      <c r="B873" s="490"/>
    </row>
    <row r="874">
      <c r="B874" s="490"/>
    </row>
    <row r="875">
      <c r="B875" s="490"/>
    </row>
    <row r="876">
      <c r="B876" s="490"/>
    </row>
    <row r="877">
      <c r="B877" s="490"/>
    </row>
    <row r="878">
      <c r="B878" s="490"/>
    </row>
    <row r="879">
      <c r="B879" s="490"/>
    </row>
    <row r="880">
      <c r="B880" s="490"/>
    </row>
    <row r="881">
      <c r="B881" s="490"/>
    </row>
    <row r="882">
      <c r="B882" s="490"/>
    </row>
    <row r="883">
      <c r="B883" s="490"/>
    </row>
    <row r="884">
      <c r="B884" s="490"/>
    </row>
    <row r="885">
      <c r="B885" s="490"/>
    </row>
    <row r="886">
      <c r="B886" s="490"/>
    </row>
    <row r="887">
      <c r="B887" s="490"/>
    </row>
    <row r="888">
      <c r="B888" s="490"/>
    </row>
    <row r="889">
      <c r="B889" s="490"/>
    </row>
    <row r="890">
      <c r="B890" s="490"/>
    </row>
    <row r="891">
      <c r="B891" s="490"/>
    </row>
    <row r="892">
      <c r="B892" s="490"/>
    </row>
    <row r="893">
      <c r="B893" s="490"/>
    </row>
    <row r="894">
      <c r="B894" s="490"/>
    </row>
    <row r="895">
      <c r="B895" s="490"/>
    </row>
    <row r="896">
      <c r="B896" s="490"/>
    </row>
    <row r="897">
      <c r="B897" s="490"/>
    </row>
    <row r="898">
      <c r="B898" s="490"/>
    </row>
    <row r="899">
      <c r="B899" s="490"/>
    </row>
    <row r="900">
      <c r="B900" s="490"/>
    </row>
    <row r="901">
      <c r="B901" s="490"/>
    </row>
    <row r="902">
      <c r="B902" s="490"/>
    </row>
    <row r="903">
      <c r="B903" s="490"/>
    </row>
    <row r="904">
      <c r="B904" s="490"/>
    </row>
    <row r="905">
      <c r="B905" s="490"/>
    </row>
    <row r="906">
      <c r="B906" s="490"/>
    </row>
    <row r="907">
      <c r="B907" s="490"/>
    </row>
    <row r="908">
      <c r="B908" s="490"/>
    </row>
    <row r="909">
      <c r="B909" s="490"/>
    </row>
    <row r="910">
      <c r="B910" s="490"/>
    </row>
    <row r="911">
      <c r="B911" s="490"/>
    </row>
    <row r="912">
      <c r="B912" s="490"/>
    </row>
    <row r="913">
      <c r="B913" s="490"/>
    </row>
    <row r="914">
      <c r="B914" s="490"/>
    </row>
    <row r="915">
      <c r="B915" s="490"/>
    </row>
    <row r="916">
      <c r="B916" s="490"/>
    </row>
    <row r="917">
      <c r="B917" s="490"/>
    </row>
    <row r="918">
      <c r="B918" s="490"/>
    </row>
    <row r="919">
      <c r="B919" s="490"/>
    </row>
    <row r="920">
      <c r="B920" s="490"/>
    </row>
    <row r="921">
      <c r="B921" s="490"/>
    </row>
    <row r="922">
      <c r="B922" s="490"/>
    </row>
    <row r="923">
      <c r="B923" s="490"/>
    </row>
    <row r="924">
      <c r="B924" s="490"/>
    </row>
    <row r="925">
      <c r="B925" s="490"/>
    </row>
    <row r="926">
      <c r="B926" s="490"/>
    </row>
    <row r="927">
      <c r="B927" s="490"/>
    </row>
    <row r="928">
      <c r="B928" s="490"/>
    </row>
    <row r="929">
      <c r="B929" s="490"/>
    </row>
    <row r="930">
      <c r="B930" s="490"/>
    </row>
    <row r="931">
      <c r="B931" s="490"/>
    </row>
    <row r="932">
      <c r="B932" s="490"/>
    </row>
    <row r="933">
      <c r="B933" s="490"/>
    </row>
    <row r="934">
      <c r="B934" s="490"/>
    </row>
    <row r="935">
      <c r="B935" s="490"/>
    </row>
    <row r="936">
      <c r="B936" s="490"/>
    </row>
    <row r="937">
      <c r="B937" s="490"/>
    </row>
    <row r="938">
      <c r="B938" s="490"/>
    </row>
    <row r="939">
      <c r="B939" s="490"/>
    </row>
    <row r="940">
      <c r="B940" s="490"/>
    </row>
    <row r="941">
      <c r="B941" s="490"/>
    </row>
    <row r="942">
      <c r="B942" s="490"/>
    </row>
    <row r="943">
      <c r="B943" s="490"/>
    </row>
    <row r="944">
      <c r="B944" s="490"/>
    </row>
    <row r="945">
      <c r="B945" s="490"/>
    </row>
    <row r="946">
      <c r="B946" s="490"/>
    </row>
    <row r="947">
      <c r="B947" s="490"/>
    </row>
    <row r="948">
      <c r="B948" s="490"/>
    </row>
    <row r="949">
      <c r="B949" s="490"/>
    </row>
    <row r="950">
      <c r="B950" s="490"/>
    </row>
    <row r="951">
      <c r="B951" s="490"/>
    </row>
    <row r="952">
      <c r="B952" s="490"/>
    </row>
    <row r="953">
      <c r="B953" s="490"/>
    </row>
    <row r="954">
      <c r="B954" s="490"/>
    </row>
    <row r="955">
      <c r="B955" s="490"/>
    </row>
    <row r="956">
      <c r="B956" s="490"/>
    </row>
    <row r="957">
      <c r="B957" s="490"/>
    </row>
    <row r="958">
      <c r="B958" s="490"/>
    </row>
    <row r="959">
      <c r="B959" s="490"/>
    </row>
    <row r="960">
      <c r="B960" s="490"/>
    </row>
    <row r="961">
      <c r="B961" s="490"/>
    </row>
    <row r="962">
      <c r="B962" s="490"/>
    </row>
    <row r="963">
      <c r="B963" s="490"/>
    </row>
    <row r="964">
      <c r="B964" s="490"/>
    </row>
    <row r="965">
      <c r="B965" s="490"/>
    </row>
    <row r="966">
      <c r="B966" s="490"/>
    </row>
    <row r="967">
      <c r="B967" s="490"/>
    </row>
    <row r="968">
      <c r="B968" s="490"/>
    </row>
    <row r="969">
      <c r="B969" s="490"/>
    </row>
    <row r="970">
      <c r="B970" s="490"/>
    </row>
    <row r="971">
      <c r="B971" s="490"/>
    </row>
    <row r="972">
      <c r="B972" s="490"/>
    </row>
    <row r="973">
      <c r="B973" s="490"/>
    </row>
    <row r="974">
      <c r="B974" s="490"/>
    </row>
    <row r="975">
      <c r="B975" s="490"/>
    </row>
    <row r="976">
      <c r="B976" s="490"/>
    </row>
    <row r="977">
      <c r="B977" s="490"/>
    </row>
    <row r="978">
      <c r="B978" s="490"/>
    </row>
    <row r="979">
      <c r="B979" s="490"/>
    </row>
    <row r="980">
      <c r="B980" s="490"/>
    </row>
    <row r="981">
      <c r="B981" s="490"/>
    </row>
    <row r="982">
      <c r="B982" s="490"/>
    </row>
    <row r="983">
      <c r="B983" s="490"/>
    </row>
    <row r="984">
      <c r="B984" s="490"/>
    </row>
    <row r="985">
      <c r="B985" s="490"/>
    </row>
    <row r="986">
      <c r="B986" s="490"/>
    </row>
    <row r="987">
      <c r="B987" s="490"/>
    </row>
    <row r="988">
      <c r="B988" s="490"/>
    </row>
    <row r="989">
      <c r="B989" s="490"/>
    </row>
    <row r="990">
      <c r="B990" s="490"/>
    </row>
    <row r="991">
      <c r="B991" s="490"/>
    </row>
    <row r="992">
      <c r="B992" s="490"/>
    </row>
    <row r="993">
      <c r="B993" s="490"/>
    </row>
    <row r="994">
      <c r="B994" s="490"/>
    </row>
    <row r="995">
      <c r="B995" s="490"/>
    </row>
    <row r="996">
      <c r="B996" s="490"/>
    </row>
    <row r="997">
      <c r="B997" s="490"/>
    </row>
    <row r="998">
      <c r="B998" s="490"/>
    </row>
    <row r="999">
      <c r="B999" s="490"/>
    </row>
    <row r="1000">
      <c r="B1000" s="490"/>
    </row>
    <row r="1001">
      <c r="B1001" s="490"/>
    </row>
    <row r="1002">
      <c r="B1002" s="490"/>
    </row>
    <row r="1003">
      <c r="B1003" s="490"/>
    </row>
    <row r="1004">
      <c r="B1004" s="490"/>
    </row>
    <row r="1005">
      <c r="B1005" s="490"/>
    </row>
    <row r="1006">
      <c r="B1006" s="490"/>
    </row>
    <row r="1007">
      <c r="B1007" s="490"/>
    </row>
    <row r="1008">
      <c r="B1008" s="490"/>
    </row>
    <row r="1009">
      <c r="B1009" s="490"/>
    </row>
    <row r="1010">
      <c r="B1010" s="490"/>
    </row>
    <row r="1011">
      <c r="B1011" s="490"/>
    </row>
    <row r="1012">
      <c r="B1012" s="490"/>
    </row>
    <row r="1013">
      <c r="B1013" s="490"/>
    </row>
    <row r="1014">
      <c r="B1014" s="490"/>
    </row>
    <row r="1015">
      <c r="B1015" s="490"/>
    </row>
    <row r="1016">
      <c r="B1016" s="490"/>
    </row>
    <row r="1017">
      <c r="B1017" s="490"/>
    </row>
    <row r="1018">
      <c r="B1018" s="490"/>
    </row>
    <row r="1019">
      <c r="B1019" s="490"/>
    </row>
    <row r="1020">
      <c r="B1020" s="490"/>
    </row>
    <row r="1021">
      <c r="B1021" s="490"/>
    </row>
    <row r="1022">
      <c r="B1022" s="490"/>
    </row>
    <row r="1023">
      <c r="B1023" s="490"/>
    </row>
    <row r="1024">
      <c r="B1024" s="490"/>
    </row>
    <row r="1025">
      <c r="B1025" s="490"/>
    </row>
    <row r="1026">
      <c r="B1026" s="490"/>
    </row>
    <row r="1027">
      <c r="B1027" s="490"/>
    </row>
  </sheetData>
  <mergeCells count="3">
    <mergeCell ref="A1:G1"/>
    <mergeCell ref="I17:K18"/>
    <mergeCell ref="A37:G37"/>
  </mergeCells>
  <hyperlinks>
    <hyperlink r:id="rId4" ref="A37"/>
  </hyperlinks>
  <drawing r:id="rId5"/>
  <legacy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36.75"/>
  </cols>
  <sheetData>
    <row r="1" ht="22.5" customHeight="1">
      <c r="A1" s="491" t="s">
        <v>428</v>
      </c>
      <c r="B1" s="492" t="s">
        <v>429</v>
      </c>
      <c r="C1" s="492" t="s">
        <v>430</v>
      </c>
      <c r="D1" s="492" t="s">
        <v>431</v>
      </c>
      <c r="E1" s="492" t="s">
        <v>432</v>
      </c>
      <c r="F1" s="492" t="s">
        <v>433</v>
      </c>
      <c r="G1" s="492" t="s">
        <v>434</v>
      </c>
      <c r="H1" s="493" t="s">
        <v>435</v>
      </c>
    </row>
    <row r="2" ht="22.5" customHeight="1">
      <c r="A2" s="494" t="s">
        <v>436</v>
      </c>
      <c r="B2" s="495">
        <v>1.1908154E7</v>
      </c>
      <c r="C2" s="495">
        <v>1.1908272E7</v>
      </c>
      <c r="D2" s="496" t="s">
        <v>437</v>
      </c>
      <c r="E2" s="496" t="s">
        <v>438</v>
      </c>
      <c r="F2" s="497">
        <v>2.739495</v>
      </c>
      <c r="G2" s="496" t="s">
        <v>439</v>
      </c>
      <c r="H2" s="498"/>
    </row>
    <row r="3" ht="22.5" customHeight="1">
      <c r="A3" s="494" t="s">
        <v>436</v>
      </c>
      <c r="B3" s="495">
        <v>4.4731069E7</v>
      </c>
      <c r="C3" s="495">
        <v>4.4731168E7</v>
      </c>
      <c r="D3" s="496" t="s">
        <v>440</v>
      </c>
      <c r="E3" s="496" t="s">
        <v>441</v>
      </c>
      <c r="F3" s="497">
        <v>2.66</v>
      </c>
      <c r="G3" s="496" t="s">
        <v>439</v>
      </c>
      <c r="H3" s="498"/>
    </row>
    <row r="4" ht="22.5" customHeight="1">
      <c r="A4" s="494" t="s">
        <v>442</v>
      </c>
      <c r="B4" s="495">
        <v>8173452.0</v>
      </c>
      <c r="C4" s="495">
        <v>8173588.0</v>
      </c>
      <c r="D4" s="496" t="s">
        <v>443</v>
      </c>
      <c r="E4" s="496" t="s">
        <v>444</v>
      </c>
      <c r="F4" s="497">
        <v>2.430656</v>
      </c>
      <c r="G4" s="496" t="s">
        <v>308</v>
      </c>
      <c r="H4" s="498"/>
    </row>
    <row r="5" ht="22.5" customHeight="1">
      <c r="A5" s="494" t="s">
        <v>445</v>
      </c>
      <c r="B5" s="495">
        <v>5.0133745E7</v>
      </c>
      <c r="C5" s="495">
        <v>5.0133864E7</v>
      </c>
      <c r="D5" s="496" t="s">
        <v>446</v>
      </c>
      <c r="E5" s="496" t="s">
        <v>447</v>
      </c>
      <c r="F5" s="497">
        <v>2.391666</v>
      </c>
      <c r="G5" s="496" t="s">
        <v>448</v>
      </c>
      <c r="H5" s="498"/>
    </row>
    <row r="6" ht="22.5" customHeight="1">
      <c r="A6" s="494" t="s">
        <v>436</v>
      </c>
      <c r="B6" s="495">
        <v>1.6727285E7</v>
      </c>
      <c r="C6" s="495">
        <v>1.6727355E7</v>
      </c>
      <c r="D6" s="496" t="s">
        <v>449</v>
      </c>
      <c r="E6" s="496" t="s">
        <v>450</v>
      </c>
      <c r="F6" s="497">
        <v>2.323943</v>
      </c>
      <c r="G6" s="496" t="s">
        <v>294</v>
      </c>
      <c r="H6" s="498"/>
    </row>
    <row r="7" ht="22.5" customHeight="1">
      <c r="A7" s="494" t="s">
        <v>451</v>
      </c>
      <c r="B7" s="495">
        <v>1.05858165E8</v>
      </c>
      <c r="C7" s="495">
        <v>1.05858242E8</v>
      </c>
      <c r="D7" s="496" t="s">
        <v>452</v>
      </c>
      <c r="E7" s="496" t="s">
        <v>453</v>
      </c>
      <c r="F7" s="497">
        <v>2.320512</v>
      </c>
      <c r="G7" s="496" t="s">
        <v>454</v>
      </c>
      <c r="H7" s="498" t="s">
        <v>455</v>
      </c>
    </row>
    <row r="8" ht="22.5" customHeight="1">
      <c r="A8" s="494" t="s">
        <v>445</v>
      </c>
      <c r="B8" s="495">
        <v>4.7939541E7</v>
      </c>
      <c r="C8" s="495">
        <v>4.793966E7</v>
      </c>
      <c r="D8" s="496" t="s">
        <v>456</v>
      </c>
      <c r="E8" s="496" t="s">
        <v>457</v>
      </c>
      <c r="F8" s="497">
        <v>2.316666</v>
      </c>
      <c r="G8" s="496" t="s">
        <v>448</v>
      </c>
      <c r="H8" s="498"/>
    </row>
    <row r="9" ht="22.5" customHeight="1">
      <c r="A9" s="494" t="s">
        <v>436</v>
      </c>
      <c r="B9" s="495">
        <v>4.4721786E7</v>
      </c>
      <c r="C9" s="495">
        <v>4.4721901E7</v>
      </c>
      <c r="D9" s="496" t="s">
        <v>458</v>
      </c>
      <c r="E9" s="496" t="s">
        <v>459</v>
      </c>
      <c r="F9" s="497">
        <v>2.189655</v>
      </c>
      <c r="G9" s="496" t="s">
        <v>439</v>
      </c>
      <c r="H9" s="498"/>
    </row>
    <row r="10" ht="22.5" customHeight="1">
      <c r="A10" s="494" t="s">
        <v>436</v>
      </c>
      <c r="B10" s="495">
        <v>2.04506527E8</v>
      </c>
      <c r="C10" s="495">
        <v>2.04506599E8</v>
      </c>
      <c r="D10" s="496" t="s">
        <v>460</v>
      </c>
      <c r="E10" s="496" t="s">
        <v>461</v>
      </c>
      <c r="F10" s="497">
        <v>2.09589</v>
      </c>
      <c r="G10" s="496" t="s">
        <v>294</v>
      </c>
      <c r="H10" s="498"/>
    </row>
    <row r="11" ht="22.5" customHeight="1">
      <c r="A11" s="494" t="s">
        <v>436</v>
      </c>
      <c r="B11" s="495">
        <v>1.6872583E7</v>
      </c>
      <c r="C11" s="495">
        <v>1.6872654E7</v>
      </c>
      <c r="D11" s="496" t="s">
        <v>462</v>
      </c>
      <c r="E11" s="496" t="s">
        <v>463</v>
      </c>
      <c r="F11" s="497">
        <v>2.083333</v>
      </c>
      <c r="G11" s="496" t="s">
        <v>294</v>
      </c>
      <c r="H11" s="498"/>
    </row>
    <row r="12" ht="22.5" customHeight="1">
      <c r="A12" s="494" t="s">
        <v>436</v>
      </c>
      <c r="B12" s="495">
        <v>1.6545939E7</v>
      </c>
      <c r="C12" s="495">
        <v>1.6546009E7</v>
      </c>
      <c r="D12" s="496" t="s">
        <v>464</v>
      </c>
      <c r="E12" s="496" t="s">
        <v>465</v>
      </c>
      <c r="F12" s="497">
        <v>2.028169</v>
      </c>
      <c r="G12" s="496" t="s">
        <v>294</v>
      </c>
      <c r="H12" s="498"/>
    </row>
    <row r="13" ht="22.5" customHeight="1">
      <c r="A13" s="494" t="s">
        <v>466</v>
      </c>
      <c r="B13" s="495">
        <v>2.8695932E7</v>
      </c>
      <c r="C13" s="495">
        <v>2.8696003E7</v>
      </c>
      <c r="D13" s="496" t="s">
        <v>467</v>
      </c>
      <c r="E13" s="496" t="s">
        <v>468</v>
      </c>
      <c r="F13" s="497">
        <v>1.916666</v>
      </c>
      <c r="G13" s="496" t="s">
        <v>294</v>
      </c>
      <c r="H13" s="498"/>
    </row>
    <row r="14" ht="22.5" customHeight="1">
      <c r="A14" s="494" t="s">
        <v>436</v>
      </c>
      <c r="B14" s="495">
        <v>1.6678271E7</v>
      </c>
      <c r="C14" s="495">
        <v>1.6678341E7</v>
      </c>
      <c r="D14" s="496" t="s">
        <v>469</v>
      </c>
      <c r="E14" s="496" t="s">
        <v>470</v>
      </c>
      <c r="F14" s="497">
        <v>1.887323</v>
      </c>
      <c r="G14" s="496" t="s">
        <v>294</v>
      </c>
      <c r="H14" s="498"/>
    </row>
    <row r="15" ht="22.5" customHeight="1">
      <c r="A15" s="494" t="s">
        <v>436</v>
      </c>
      <c r="B15" s="495">
        <v>1.46035692E8</v>
      </c>
      <c r="C15" s="495">
        <v>1.46035763E8</v>
      </c>
      <c r="D15" s="496" t="s">
        <v>471</v>
      </c>
      <c r="E15" s="496" t="s">
        <v>472</v>
      </c>
      <c r="F15" s="497">
        <v>1.875</v>
      </c>
      <c r="G15" s="496" t="s">
        <v>294</v>
      </c>
      <c r="H15" s="498"/>
    </row>
    <row r="16" ht="22.5" customHeight="1">
      <c r="A16" s="494" t="s">
        <v>466</v>
      </c>
      <c r="B16" s="495">
        <v>5.7800211E7</v>
      </c>
      <c r="C16" s="495">
        <v>5.7800284E7</v>
      </c>
      <c r="D16" s="496" t="s">
        <v>473</v>
      </c>
      <c r="E16" s="496" t="s">
        <v>474</v>
      </c>
      <c r="F16" s="497">
        <v>1.851351</v>
      </c>
      <c r="G16" s="496" t="s">
        <v>294</v>
      </c>
      <c r="H16" s="498"/>
    </row>
    <row r="17" ht="22.5" customHeight="1">
      <c r="A17" s="494" t="s">
        <v>436</v>
      </c>
      <c r="B17" s="495">
        <v>1.61523847E8</v>
      </c>
      <c r="C17" s="495">
        <v>1.61523917E8</v>
      </c>
      <c r="D17" s="496" t="s">
        <v>475</v>
      </c>
      <c r="E17" s="496" t="s">
        <v>476</v>
      </c>
      <c r="F17" s="497">
        <v>1.84507</v>
      </c>
      <c r="G17" s="496" t="s">
        <v>294</v>
      </c>
      <c r="H17" s="498"/>
    </row>
    <row r="18" ht="22.5" customHeight="1">
      <c r="A18" s="494" t="s">
        <v>477</v>
      </c>
      <c r="B18" s="495">
        <v>7.6235513E7</v>
      </c>
      <c r="C18" s="495">
        <v>7.6235584E7</v>
      </c>
      <c r="D18" s="496" t="s">
        <v>478</v>
      </c>
      <c r="E18" s="496" t="s">
        <v>479</v>
      </c>
      <c r="F18" s="497">
        <v>1.805555</v>
      </c>
      <c r="G18" s="496" t="s">
        <v>294</v>
      </c>
      <c r="H18" s="498"/>
    </row>
    <row r="19" ht="22.5" customHeight="1">
      <c r="A19" s="494" t="s">
        <v>436</v>
      </c>
      <c r="B19" s="495">
        <v>1.21016845E8</v>
      </c>
      <c r="C19" s="495">
        <v>1.21016915E8</v>
      </c>
      <c r="D19" s="496" t="s">
        <v>480</v>
      </c>
      <c r="E19" s="496" t="s">
        <v>481</v>
      </c>
      <c r="F19" s="497">
        <v>1.802816</v>
      </c>
      <c r="G19" s="496" t="s">
        <v>294</v>
      </c>
      <c r="H19" s="498"/>
    </row>
    <row r="20" ht="22.5" customHeight="1">
      <c r="A20" s="494" t="s">
        <v>482</v>
      </c>
      <c r="B20" s="495">
        <v>1.24939966E8</v>
      </c>
      <c r="C20" s="495">
        <v>1.24940037E8</v>
      </c>
      <c r="D20" s="496" t="s">
        <v>483</v>
      </c>
      <c r="E20" s="496" t="s">
        <v>484</v>
      </c>
      <c r="F20" s="497">
        <v>1.75</v>
      </c>
      <c r="G20" s="496" t="s">
        <v>294</v>
      </c>
      <c r="H20" s="498"/>
    </row>
    <row r="21" ht="22.5" customHeight="1">
      <c r="A21" s="494" t="s">
        <v>485</v>
      </c>
      <c r="B21" s="495">
        <v>3191989.0</v>
      </c>
      <c r="C21" s="495">
        <v>3192060.0</v>
      </c>
      <c r="D21" s="496" t="s">
        <v>486</v>
      </c>
      <c r="E21" s="496" t="s">
        <v>487</v>
      </c>
      <c r="F21" s="497">
        <v>1.708333</v>
      </c>
      <c r="G21" s="496" t="s">
        <v>294</v>
      </c>
      <c r="H21" s="498"/>
    </row>
    <row r="22" ht="22.5" customHeight="1">
      <c r="A22" s="494" t="s">
        <v>485</v>
      </c>
      <c r="B22" s="495">
        <v>3157405.0</v>
      </c>
      <c r="C22" s="495">
        <v>3157477.0</v>
      </c>
      <c r="D22" s="496" t="s">
        <v>488</v>
      </c>
      <c r="E22" s="496" t="s">
        <v>489</v>
      </c>
      <c r="F22" s="497">
        <v>1.69863</v>
      </c>
      <c r="G22" s="496" t="s">
        <v>294</v>
      </c>
      <c r="H22" s="498"/>
    </row>
    <row r="23" ht="22.5" customHeight="1">
      <c r="A23" s="494" t="s">
        <v>436</v>
      </c>
      <c r="B23" s="495">
        <v>1.6535279E7</v>
      </c>
      <c r="C23" s="495">
        <v>1.653535E7</v>
      </c>
      <c r="D23" s="496" t="s">
        <v>490</v>
      </c>
      <c r="E23" s="496" t="s">
        <v>491</v>
      </c>
      <c r="F23" s="497">
        <v>1.694444</v>
      </c>
      <c r="G23" s="496" t="s">
        <v>294</v>
      </c>
      <c r="H23" s="498"/>
    </row>
    <row r="24" ht="22.5" customHeight="1">
      <c r="A24" s="494" t="s">
        <v>466</v>
      </c>
      <c r="B24" s="495">
        <v>2.7618356E7</v>
      </c>
      <c r="C24" s="495">
        <v>2.7618429E7</v>
      </c>
      <c r="D24" s="496" t="s">
        <v>492</v>
      </c>
      <c r="E24" s="496" t="s">
        <v>493</v>
      </c>
      <c r="F24" s="497">
        <v>1.689189</v>
      </c>
      <c r="G24" s="496" t="s">
        <v>294</v>
      </c>
      <c r="H24" s="498"/>
    </row>
    <row r="25" ht="22.5" customHeight="1">
      <c r="A25" s="494" t="s">
        <v>445</v>
      </c>
      <c r="B25" s="495">
        <v>4724070.0</v>
      </c>
      <c r="C25" s="495">
        <v>4724141.0</v>
      </c>
      <c r="D25" s="496" t="s">
        <v>494</v>
      </c>
      <c r="E25" s="496" t="s">
        <v>495</v>
      </c>
      <c r="F25" s="497">
        <v>1.680555</v>
      </c>
      <c r="G25" s="496" t="s">
        <v>294</v>
      </c>
      <c r="H25" s="498"/>
    </row>
    <row r="26" ht="22.5" customHeight="1">
      <c r="A26" s="494" t="s">
        <v>496</v>
      </c>
      <c r="B26" s="495">
        <v>3.3513475E7</v>
      </c>
      <c r="C26" s="495">
        <v>3.3513578E7</v>
      </c>
      <c r="D26" s="496" t="s">
        <v>497</v>
      </c>
      <c r="E26" s="496" t="s">
        <v>498</v>
      </c>
      <c r="F26" s="497">
        <v>1.673076</v>
      </c>
      <c r="G26" s="496" t="s">
        <v>308</v>
      </c>
      <c r="H26" s="498"/>
    </row>
    <row r="27" ht="22.5" customHeight="1">
      <c r="A27" s="494" t="s">
        <v>445</v>
      </c>
      <c r="B27" s="495">
        <v>4724635.0</v>
      </c>
      <c r="C27" s="495">
        <v>4724707.0</v>
      </c>
      <c r="D27" s="496" t="s">
        <v>499</v>
      </c>
      <c r="E27" s="496" t="s">
        <v>500</v>
      </c>
      <c r="F27" s="497">
        <v>1.616438</v>
      </c>
      <c r="G27" s="496" t="s">
        <v>294</v>
      </c>
      <c r="H27" s="498"/>
    </row>
    <row r="28" ht="22.5" customHeight="1">
      <c r="A28" s="494" t="s">
        <v>451</v>
      </c>
      <c r="B28" s="495">
        <v>2.063116E7</v>
      </c>
      <c r="C28" s="495">
        <v>2.0631232E7</v>
      </c>
      <c r="D28" s="496" t="s">
        <v>501</v>
      </c>
      <c r="E28" s="496" t="s">
        <v>502</v>
      </c>
      <c r="F28" s="497">
        <v>1.616438</v>
      </c>
      <c r="G28" s="496" t="s">
        <v>294</v>
      </c>
      <c r="H28" s="498"/>
    </row>
    <row r="29" ht="22.5" customHeight="1">
      <c r="A29" s="494" t="s">
        <v>477</v>
      </c>
      <c r="B29" s="495">
        <v>5.9550629E7</v>
      </c>
      <c r="C29" s="495">
        <v>5.9550701E7</v>
      </c>
      <c r="D29" s="496" t="s">
        <v>503</v>
      </c>
      <c r="E29" s="496" t="s">
        <v>504</v>
      </c>
      <c r="F29" s="497">
        <v>1.616438</v>
      </c>
      <c r="G29" s="496" t="s">
        <v>294</v>
      </c>
      <c r="H29" s="498"/>
    </row>
    <row r="30" ht="22.5" customHeight="1">
      <c r="A30" s="494" t="s">
        <v>445</v>
      </c>
      <c r="B30" s="495">
        <v>4.7923779E7</v>
      </c>
      <c r="C30" s="495">
        <v>4.7923899E7</v>
      </c>
      <c r="D30" s="496" t="s">
        <v>505</v>
      </c>
      <c r="E30" s="496" t="s">
        <v>506</v>
      </c>
      <c r="F30" s="497">
        <v>1.603305</v>
      </c>
      <c r="G30" s="496" t="s">
        <v>448</v>
      </c>
      <c r="H30" s="498"/>
    </row>
    <row r="31" ht="22.5" customHeight="1">
      <c r="A31" s="494" t="s">
        <v>507</v>
      </c>
      <c r="B31" s="495">
        <v>6.2328756E7</v>
      </c>
      <c r="C31" s="495">
        <v>6.2328835E7</v>
      </c>
      <c r="D31" s="496" t="s">
        <v>508</v>
      </c>
      <c r="E31" s="496" t="s">
        <v>509</v>
      </c>
      <c r="F31" s="497">
        <v>1.6</v>
      </c>
      <c r="G31" s="496" t="s">
        <v>220</v>
      </c>
      <c r="H31" s="498"/>
    </row>
    <row r="32" ht="22.5" customHeight="1">
      <c r="A32" s="494" t="s">
        <v>451</v>
      </c>
      <c r="B32" s="495">
        <v>2.0633006E7</v>
      </c>
      <c r="C32" s="495">
        <v>2.0633077E7</v>
      </c>
      <c r="D32" s="496" t="s">
        <v>510</v>
      </c>
      <c r="E32" s="496" t="s">
        <v>511</v>
      </c>
      <c r="F32" s="497">
        <v>1.583333</v>
      </c>
      <c r="G32" s="496" t="s">
        <v>294</v>
      </c>
      <c r="H32" s="498"/>
    </row>
    <row r="33" ht="22.5" customHeight="1">
      <c r="A33" s="494" t="s">
        <v>451</v>
      </c>
      <c r="B33" s="495">
        <v>1.05917979E8</v>
      </c>
      <c r="C33" s="495">
        <v>1.05918817E8</v>
      </c>
      <c r="D33" s="496" t="s">
        <v>512</v>
      </c>
      <c r="E33" s="496" t="s">
        <v>513</v>
      </c>
      <c r="F33" s="497">
        <v>1.572109</v>
      </c>
      <c r="G33" s="496" t="s">
        <v>220</v>
      </c>
      <c r="H33" s="498"/>
    </row>
    <row r="34" ht="22.5" customHeight="1">
      <c r="A34" s="494" t="s">
        <v>466</v>
      </c>
      <c r="B34" s="495">
        <v>2.7547752E7</v>
      </c>
      <c r="C34" s="495">
        <v>2.7547823E7</v>
      </c>
      <c r="D34" s="496" t="s">
        <v>514</v>
      </c>
      <c r="E34" s="496" t="s">
        <v>515</v>
      </c>
      <c r="F34" s="497">
        <v>1.569444</v>
      </c>
      <c r="G34" s="496" t="s">
        <v>294</v>
      </c>
      <c r="H34" s="498"/>
    </row>
    <row r="35" ht="22.5" customHeight="1">
      <c r="A35" s="494" t="s">
        <v>485</v>
      </c>
      <c r="B35" s="495">
        <v>3152900.0</v>
      </c>
      <c r="C35" s="495">
        <v>3152972.0</v>
      </c>
      <c r="D35" s="496" t="s">
        <v>516</v>
      </c>
      <c r="E35" s="496" t="s">
        <v>517</v>
      </c>
      <c r="F35" s="497">
        <v>1.561643</v>
      </c>
      <c r="G35" s="496" t="s">
        <v>294</v>
      </c>
      <c r="H35" s="498"/>
    </row>
    <row r="36" ht="22.5" customHeight="1">
      <c r="A36" s="494" t="s">
        <v>518</v>
      </c>
      <c r="B36" s="495">
        <v>1.81188416E8</v>
      </c>
      <c r="C36" s="495">
        <v>1.81188488E8</v>
      </c>
      <c r="D36" s="496" t="s">
        <v>519</v>
      </c>
      <c r="E36" s="496" t="s">
        <v>520</v>
      </c>
      <c r="F36" s="497">
        <v>1.561643</v>
      </c>
      <c r="G36" s="496" t="s">
        <v>294</v>
      </c>
      <c r="H36" s="498"/>
    </row>
    <row r="37" ht="22.5" customHeight="1">
      <c r="A37" s="494" t="s">
        <v>482</v>
      </c>
      <c r="B37" s="495">
        <v>1.24927843E8</v>
      </c>
      <c r="C37" s="495">
        <v>1.24927915E8</v>
      </c>
      <c r="D37" s="496" t="s">
        <v>521</v>
      </c>
      <c r="E37" s="496" t="s">
        <v>522</v>
      </c>
      <c r="F37" s="497">
        <v>1.547945</v>
      </c>
      <c r="G37" s="496" t="s">
        <v>294</v>
      </c>
      <c r="H37" s="498"/>
    </row>
    <row r="38" ht="22.5" customHeight="1">
      <c r="A38" s="494" t="s">
        <v>466</v>
      </c>
      <c r="B38" s="495">
        <v>2.7777885E7</v>
      </c>
      <c r="C38" s="495">
        <v>2.7777956E7</v>
      </c>
      <c r="D38" s="496" t="s">
        <v>523</v>
      </c>
      <c r="E38" s="496" t="s">
        <v>524</v>
      </c>
      <c r="F38" s="497">
        <v>1.541666</v>
      </c>
      <c r="G38" s="496" t="s">
        <v>294</v>
      </c>
      <c r="H38" s="498"/>
    </row>
    <row r="39" ht="22.5" customHeight="1">
      <c r="A39" s="494" t="s">
        <v>445</v>
      </c>
      <c r="B39" s="495">
        <v>4.7950296E7</v>
      </c>
      <c r="C39" s="495">
        <v>4.7950414E7</v>
      </c>
      <c r="D39" s="496" t="s">
        <v>525</v>
      </c>
      <c r="E39" s="496" t="s">
        <v>526</v>
      </c>
      <c r="F39" s="497">
        <v>1.537815</v>
      </c>
      <c r="G39" s="496" t="s">
        <v>448</v>
      </c>
      <c r="H39" s="498"/>
    </row>
    <row r="40" ht="22.5" customHeight="1">
      <c r="A40" s="494" t="s">
        <v>466</v>
      </c>
      <c r="B40" s="495">
        <v>2.6571864E7</v>
      </c>
      <c r="C40" s="495">
        <v>2.6571936E7</v>
      </c>
      <c r="D40" s="496" t="s">
        <v>527</v>
      </c>
      <c r="E40" s="496" t="s">
        <v>528</v>
      </c>
      <c r="F40" s="497">
        <v>1.534246</v>
      </c>
      <c r="G40" s="496" t="s">
        <v>294</v>
      </c>
      <c r="H40" s="498"/>
    </row>
    <row r="41" ht="22.5" customHeight="1">
      <c r="A41" s="494" t="s">
        <v>451</v>
      </c>
      <c r="B41" s="495">
        <v>2.062537E7</v>
      </c>
      <c r="C41" s="495">
        <v>2.0625451E7</v>
      </c>
      <c r="D41" s="496" t="s">
        <v>529</v>
      </c>
      <c r="E41" s="496" t="s">
        <v>530</v>
      </c>
      <c r="F41" s="497">
        <v>1.52439</v>
      </c>
      <c r="G41" s="496" t="s">
        <v>294</v>
      </c>
      <c r="H41" s="498"/>
    </row>
    <row r="42" ht="22.5" customHeight="1">
      <c r="A42" s="494" t="s">
        <v>485</v>
      </c>
      <c r="B42" s="495">
        <v>8.7384022E7</v>
      </c>
      <c r="C42" s="495">
        <v>8.7384094E7</v>
      </c>
      <c r="D42" s="496" t="s">
        <v>531</v>
      </c>
      <c r="E42" s="496" t="s">
        <v>532</v>
      </c>
      <c r="F42" s="497">
        <v>1.520547</v>
      </c>
      <c r="G42" s="496" t="s">
        <v>294</v>
      </c>
      <c r="H42" s="498"/>
    </row>
    <row r="43" ht="22.5" customHeight="1">
      <c r="A43" s="494" t="s">
        <v>466</v>
      </c>
      <c r="B43" s="495">
        <v>2.8944575E7</v>
      </c>
      <c r="C43" s="495">
        <v>2.8944647E7</v>
      </c>
      <c r="D43" s="496" t="s">
        <v>533</v>
      </c>
      <c r="E43" s="496" t="s">
        <v>534</v>
      </c>
      <c r="F43" s="497">
        <v>1.506849</v>
      </c>
      <c r="G43" s="496" t="s">
        <v>294</v>
      </c>
      <c r="H43" s="498"/>
    </row>
    <row r="44" ht="22.5" customHeight="1">
      <c r="A44" s="494" t="s">
        <v>485</v>
      </c>
      <c r="B44" s="495">
        <v>5.7299951E7</v>
      </c>
      <c r="C44" s="495">
        <v>5.7300033E7</v>
      </c>
      <c r="D44" s="496" t="s">
        <v>535</v>
      </c>
      <c r="E44" s="496" t="s">
        <v>536</v>
      </c>
      <c r="F44" s="497">
        <v>1.506024</v>
      </c>
      <c r="G44" s="496" t="s">
        <v>294</v>
      </c>
      <c r="H44" s="498"/>
    </row>
    <row r="45" ht="22.5" customHeight="1">
      <c r="A45" s="494" t="s">
        <v>466</v>
      </c>
      <c r="B45" s="495">
        <v>2.8795964E7</v>
      </c>
      <c r="C45" s="495">
        <v>2.8796035E7</v>
      </c>
      <c r="D45" s="496" t="s">
        <v>537</v>
      </c>
      <c r="E45" s="496" t="s">
        <v>538</v>
      </c>
      <c r="F45" s="497">
        <v>1.472222</v>
      </c>
      <c r="G45" s="496" t="s">
        <v>294</v>
      </c>
      <c r="H45" s="498"/>
    </row>
    <row r="46" ht="22.5" customHeight="1">
      <c r="A46" s="494" t="s">
        <v>442</v>
      </c>
      <c r="B46" s="495">
        <v>8221548.0</v>
      </c>
      <c r="C46" s="495">
        <v>8221619.0</v>
      </c>
      <c r="D46" s="496" t="s">
        <v>539</v>
      </c>
      <c r="E46" s="496" t="s">
        <v>540</v>
      </c>
      <c r="F46" s="497">
        <v>1.458333</v>
      </c>
      <c r="G46" s="496" t="s">
        <v>294</v>
      </c>
      <c r="H46" s="498"/>
    </row>
    <row r="47" ht="22.5" customHeight="1">
      <c r="A47" s="494" t="s">
        <v>485</v>
      </c>
      <c r="B47" s="495">
        <v>3180554.0</v>
      </c>
      <c r="C47" s="495">
        <v>3180626.0</v>
      </c>
      <c r="D47" s="496" t="s">
        <v>541</v>
      </c>
      <c r="E47" s="496" t="s">
        <v>542</v>
      </c>
      <c r="F47" s="497">
        <v>1.452054</v>
      </c>
      <c r="G47" s="496" t="s">
        <v>294</v>
      </c>
      <c r="H47" s="498"/>
    </row>
    <row r="48" ht="22.5" customHeight="1">
      <c r="A48" s="494" t="s">
        <v>466</v>
      </c>
      <c r="B48" s="495">
        <v>2.7688188E7</v>
      </c>
      <c r="C48" s="495">
        <v>2.7688261E7</v>
      </c>
      <c r="D48" s="496" t="s">
        <v>543</v>
      </c>
      <c r="E48" s="496" t="s">
        <v>544</v>
      </c>
      <c r="F48" s="497">
        <v>1.445945</v>
      </c>
      <c r="G48" s="496" t="s">
        <v>294</v>
      </c>
      <c r="H48" s="498"/>
    </row>
    <row r="49" ht="22.5" customHeight="1">
      <c r="A49" s="494" t="s">
        <v>466</v>
      </c>
      <c r="B49" s="495">
        <v>2.8729315E7</v>
      </c>
      <c r="C49" s="495">
        <v>2.8729386E7</v>
      </c>
      <c r="D49" s="496" t="s">
        <v>545</v>
      </c>
      <c r="E49" s="496" t="s">
        <v>546</v>
      </c>
      <c r="F49" s="497">
        <v>1.444444</v>
      </c>
      <c r="G49" s="496" t="s">
        <v>294</v>
      </c>
      <c r="H49" s="498"/>
    </row>
    <row r="50" ht="22.5" customHeight="1">
      <c r="A50" s="494" t="s">
        <v>466</v>
      </c>
      <c r="B50" s="495">
        <v>2.7591814E7</v>
      </c>
      <c r="C50" s="495">
        <v>2.7591886E7</v>
      </c>
      <c r="D50" s="496" t="s">
        <v>547</v>
      </c>
      <c r="E50" s="496" t="s">
        <v>548</v>
      </c>
      <c r="F50" s="497">
        <v>1.438356</v>
      </c>
      <c r="G50" s="496" t="s">
        <v>294</v>
      </c>
      <c r="H50" s="498"/>
    </row>
    <row r="51" ht="22.5" customHeight="1">
      <c r="A51" s="494" t="s">
        <v>445</v>
      </c>
      <c r="B51" s="495">
        <v>4.9031669E7</v>
      </c>
      <c r="C51" s="495">
        <v>4.9031787E7</v>
      </c>
      <c r="D51" s="496" t="s">
        <v>549</v>
      </c>
      <c r="E51" s="496" t="s">
        <v>550</v>
      </c>
      <c r="F51" s="497">
        <v>1.436974</v>
      </c>
      <c r="G51" s="496" t="s">
        <v>448</v>
      </c>
      <c r="H51" s="498"/>
    </row>
    <row r="52" ht="22.5" customHeight="1">
      <c r="A52" s="494" t="s">
        <v>436</v>
      </c>
      <c r="B52" s="495">
        <v>1.61540241E8</v>
      </c>
      <c r="C52" s="495">
        <v>1.61540314E8</v>
      </c>
      <c r="D52" s="496" t="s">
        <v>551</v>
      </c>
      <c r="E52" s="496" t="s">
        <v>552</v>
      </c>
      <c r="F52" s="497">
        <v>1.432432</v>
      </c>
      <c r="G52" s="496" t="s">
        <v>294</v>
      </c>
      <c r="H52" s="498"/>
    </row>
    <row r="53" ht="22.5" customHeight="1">
      <c r="A53" s="494" t="s">
        <v>507</v>
      </c>
      <c r="B53" s="495">
        <v>4.4917927E7</v>
      </c>
      <c r="C53" s="495">
        <v>4.4917998E7</v>
      </c>
      <c r="D53" s="496" t="s">
        <v>553</v>
      </c>
      <c r="E53" s="496" t="s">
        <v>554</v>
      </c>
      <c r="F53" s="497">
        <v>1.430555</v>
      </c>
      <c r="G53" s="496" t="s">
        <v>294</v>
      </c>
      <c r="H53" s="498"/>
    </row>
    <row r="54" ht="22.5" customHeight="1">
      <c r="A54" s="494" t="s">
        <v>485</v>
      </c>
      <c r="B54" s="495">
        <v>2.2195711E7</v>
      </c>
      <c r="C54" s="495">
        <v>2.2195792E7</v>
      </c>
      <c r="D54" s="496" t="s">
        <v>555</v>
      </c>
      <c r="E54" s="496" t="s">
        <v>556</v>
      </c>
      <c r="F54" s="497">
        <v>1.402439</v>
      </c>
      <c r="G54" s="496" t="s">
        <v>294</v>
      </c>
      <c r="H54" s="498"/>
    </row>
    <row r="55" ht="22.5" customHeight="1">
      <c r="A55" s="494" t="s">
        <v>436</v>
      </c>
      <c r="B55" s="495">
        <v>1.45157157E8</v>
      </c>
      <c r="C55" s="495">
        <v>1.45157229E8</v>
      </c>
      <c r="D55" s="496" t="s">
        <v>557</v>
      </c>
      <c r="E55" s="496" t="s">
        <v>558</v>
      </c>
      <c r="F55" s="497">
        <v>1.39726</v>
      </c>
      <c r="G55" s="496" t="s">
        <v>294</v>
      </c>
      <c r="H55" s="498"/>
    </row>
    <row r="56" ht="22.5" customHeight="1">
      <c r="A56" s="494" t="s">
        <v>436</v>
      </c>
      <c r="B56" s="495">
        <v>1.50045406E8</v>
      </c>
      <c r="C56" s="495">
        <v>1.50045476E8</v>
      </c>
      <c r="D56" s="496" t="s">
        <v>559</v>
      </c>
      <c r="E56" s="496" t="s">
        <v>560</v>
      </c>
      <c r="F56" s="497">
        <v>1.394366</v>
      </c>
      <c r="G56" s="496" t="s">
        <v>294</v>
      </c>
      <c r="H56" s="498"/>
    </row>
    <row r="57" ht="22.5" customHeight="1">
      <c r="A57" s="494" t="s">
        <v>518</v>
      </c>
      <c r="B57" s="495">
        <v>1.81188854E8</v>
      </c>
      <c r="C57" s="495">
        <v>1.81188925E8</v>
      </c>
      <c r="D57" s="496" t="s">
        <v>561</v>
      </c>
      <c r="E57" s="496" t="s">
        <v>562</v>
      </c>
      <c r="F57" s="497">
        <v>1.388888</v>
      </c>
      <c r="G57" s="496" t="s">
        <v>294</v>
      </c>
      <c r="H57" s="498"/>
    </row>
    <row r="58" ht="22.5" customHeight="1">
      <c r="A58" s="494" t="s">
        <v>466</v>
      </c>
      <c r="B58" s="495">
        <v>2.632814E7</v>
      </c>
      <c r="C58" s="495">
        <v>2.6328212E7</v>
      </c>
      <c r="D58" s="496" t="s">
        <v>563</v>
      </c>
      <c r="E58" s="496" t="s">
        <v>564</v>
      </c>
      <c r="F58" s="497">
        <v>1.383561</v>
      </c>
      <c r="G58" s="496" t="s">
        <v>294</v>
      </c>
      <c r="H58" s="498"/>
    </row>
    <row r="59" ht="22.5" customHeight="1">
      <c r="A59" s="494" t="s">
        <v>485</v>
      </c>
      <c r="B59" s="495">
        <v>7.1426493E7</v>
      </c>
      <c r="C59" s="495">
        <v>7.1426565E7</v>
      </c>
      <c r="D59" s="496" t="s">
        <v>565</v>
      </c>
      <c r="E59" s="496" t="s">
        <v>566</v>
      </c>
      <c r="F59" s="497">
        <v>1.383561</v>
      </c>
      <c r="G59" s="496" t="s">
        <v>294</v>
      </c>
      <c r="H59" s="498"/>
    </row>
    <row r="60" ht="22.5" customHeight="1">
      <c r="A60" s="494" t="s">
        <v>466</v>
      </c>
      <c r="B60" s="495">
        <v>2.7303789E7</v>
      </c>
      <c r="C60" s="495">
        <v>2.730386E7</v>
      </c>
      <c r="D60" s="496" t="s">
        <v>567</v>
      </c>
      <c r="E60" s="496" t="s">
        <v>568</v>
      </c>
      <c r="F60" s="497">
        <v>1.361111</v>
      </c>
      <c r="G60" s="496" t="s">
        <v>294</v>
      </c>
      <c r="H60" s="498"/>
    </row>
    <row r="61" ht="22.5" customHeight="1">
      <c r="A61" s="494" t="s">
        <v>466</v>
      </c>
      <c r="B61" s="495">
        <v>2.8710589E7</v>
      </c>
      <c r="C61" s="495">
        <v>2.871066E7</v>
      </c>
      <c r="D61" s="496" t="s">
        <v>569</v>
      </c>
      <c r="E61" s="496" t="s">
        <v>570</v>
      </c>
      <c r="F61" s="497">
        <v>1.361111</v>
      </c>
      <c r="G61" s="496" t="s">
        <v>294</v>
      </c>
      <c r="H61" s="498"/>
    </row>
    <row r="62" ht="22.5" customHeight="1">
      <c r="A62" s="494" t="s">
        <v>466</v>
      </c>
      <c r="B62" s="495">
        <v>2.728027E7</v>
      </c>
      <c r="C62" s="495">
        <v>2.7280342E7</v>
      </c>
      <c r="D62" s="496" t="s">
        <v>571</v>
      </c>
      <c r="E62" s="496" t="s">
        <v>572</v>
      </c>
      <c r="F62" s="497">
        <v>1.356164</v>
      </c>
      <c r="G62" s="496" t="s">
        <v>294</v>
      </c>
      <c r="H62" s="498"/>
    </row>
    <row r="63" ht="22.5" customHeight="1">
      <c r="A63" s="494" t="s">
        <v>451</v>
      </c>
      <c r="B63" s="495">
        <v>5.8239895E7</v>
      </c>
      <c r="C63" s="495">
        <v>5.8239967E7</v>
      </c>
      <c r="D63" s="496" t="s">
        <v>573</v>
      </c>
      <c r="E63" s="496" t="s">
        <v>574</v>
      </c>
      <c r="F63" s="497">
        <v>1.356164</v>
      </c>
      <c r="G63" s="496" t="s">
        <v>294</v>
      </c>
      <c r="H63" s="498"/>
    </row>
    <row r="64" ht="22.5" customHeight="1">
      <c r="A64" s="494" t="s">
        <v>442</v>
      </c>
      <c r="B64" s="495">
        <v>8226991.0</v>
      </c>
      <c r="C64" s="495">
        <v>8227064.0</v>
      </c>
      <c r="D64" s="496" t="s">
        <v>575</v>
      </c>
      <c r="E64" s="496" t="s">
        <v>576</v>
      </c>
      <c r="F64" s="497">
        <v>1.351351</v>
      </c>
      <c r="G64" s="496" t="s">
        <v>294</v>
      </c>
      <c r="H64" s="498"/>
    </row>
    <row r="65" ht="22.5" customHeight="1">
      <c r="A65" s="494" t="s">
        <v>485</v>
      </c>
      <c r="B65" s="495">
        <v>7.3478317E7</v>
      </c>
      <c r="C65" s="495">
        <v>7.3478389E7</v>
      </c>
      <c r="D65" s="496" t="s">
        <v>577</v>
      </c>
      <c r="E65" s="496" t="s">
        <v>578</v>
      </c>
      <c r="F65" s="497">
        <v>1.342465</v>
      </c>
      <c r="G65" s="496" t="s">
        <v>294</v>
      </c>
      <c r="H65" s="498"/>
    </row>
    <row r="66" ht="22.5" customHeight="1">
      <c r="A66" s="494" t="s">
        <v>466</v>
      </c>
      <c r="B66" s="495">
        <v>2.8658237E7</v>
      </c>
      <c r="C66" s="495">
        <v>2.8658308E7</v>
      </c>
      <c r="D66" s="496" t="s">
        <v>579</v>
      </c>
      <c r="E66" s="496" t="s">
        <v>580</v>
      </c>
      <c r="F66" s="497">
        <v>1.333333</v>
      </c>
      <c r="G66" s="496" t="s">
        <v>294</v>
      </c>
      <c r="H66" s="498"/>
    </row>
    <row r="67" ht="22.5" customHeight="1">
      <c r="A67" s="494" t="s">
        <v>436</v>
      </c>
      <c r="B67" s="495">
        <v>1.46039401E8</v>
      </c>
      <c r="C67" s="495">
        <v>1.46039473E8</v>
      </c>
      <c r="D67" s="496" t="s">
        <v>581</v>
      </c>
      <c r="E67" s="496" t="s">
        <v>582</v>
      </c>
      <c r="F67" s="497">
        <v>1.328767</v>
      </c>
      <c r="G67" s="496" t="s">
        <v>294</v>
      </c>
      <c r="H67" s="498"/>
    </row>
    <row r="68" ht="22.5" customHeight="1">
      <c r="A68" s="494" t="s">
        <v>466</v>
      </c>
      <c r="B68" s="495">
        <v>2.6554122E7</v>
      </c>
      <c r="C68" s="495">
        <v>2.6554195E7</v>
      </c>
      <c r="D68" s="496" t="s">
        <v>583</v>
      </c>
      <c r="E68" s="496" t="s">
        <v>584</v>
      </c>
      <c r="F68" s="497">
        <v>1.324324</v>
      </c>
      <c r="G68" s="496" t="s">
        <v>294</v>
      </c>
      <c r="H68" s="498"/>
    </row>
    <row r="69" ht="22.5" customHeight="1">
      <c r="A69" s="494" t="s">
        <v>466</v>
      </c>
      <c r="B69" s="495">
        <v>2.8474552E7</v>
      </c>
      <c r="C69" s="495">
        <v>2.8474625E7</v>
      </c>
      <c r="D69" s="496" t="s">
        <v>585</v>
      </c>
      <c r="E69" s="496" t="s">
        <v>586</v>
      </c>
      <c r="F69" s="497">
        <v>1.324324</v>
      </c>
      <c r="G69" s="496" t="s">
        <v>294</v>
      </c>
      <c r="H69" s="498"/>
    </row>
    <row r="70" ht="22.5" customHeight="1">
      <c r="A70" s="494" t="s">
        <v>482</v>
      </c>
      <c r="B70" s="495">
        <v>9.8503503E7</v>
      </c>
      <c r="C70" s="495">
        <v>9.8503574E7</v>
      </c>
      <c r="D70" s="496" t="s">
        <v>587</v>
      </c>
      <c r="E70" s="496" t="s">
        <v>588</v>
      </c>
      <c r="F70" s="497">
        <v>1.305555</v>
      </c>
      <c r="G70" s="496" t="s">
        <v>294</v>
      </c>
      <c r="H70" s="498"/>
    </row>
    <row r="71" ht="22.5" customHeight="1">
      <c r="A71" s="494" t="s">
        <v>466</v>
      </c>
      <c r="B71" s="495">
        <v>2.733499E7</v>
      </c>
      <c r="C71" s="495">
        <v>2.7335062E7</v>
      </c>
      <c r="D71" s="496" t="s">
        <v>589</v>
      </c>
      <c r="E71" s="496" t="s">
        <v>590</v>
      </c>
      <c r="F71" s="497">
        <v>1.301369</v>
      </c>
      <c r="G71" s="496" t="s">
        <v>294</v>
      </c>
      <c r="H71" s="498"/>
    </row>
    <row r="72" ht="22.5" customHeight="1">
      <c r="A72" s="494" t="s">
        <v>477</v>
      </c>
      <c r="B72" s="495">
        <v>5.956638E7</v>
      </c>
      <c r="C72" s="495">
        <v>5.9566452E7</v>
      </c>
      <c r="D72" s="496" t="s">
        <v>591</v>
      </c>
      <c r="E72" s="496" t="s">
        <v>592</v>
      </c>
      <c r="F72" s="497">
        <v>1.301369</v>
      </c>
      <c r="G72" s="496" t="s">
        <v>294</v>
      </c>
      <c r="H72" s="498"/>
    </row>
    <row r="73" ht="22.5" customHeight="1">
      <c r="A73" s="494" t="s">
        <v>477</v>
      </c>
      <c r="B73" s="495">
        <v>7.6235825E7</v>
      </c>
      <c r="C73" s="495">
        <v>7.6235896E7</v>
      </c>
      <c r="D73" s="496" t="s">
        <v>593</v>
      </c>
      <c r="E73" s="496" t="s">
        <v>594</v>
      </c>
      <c r="F73" s="497">
        <v>1.291666</v>
      </c>
      <c r="G73" s="496" t="s">
        <v>294</v>
      </c>
      <c r="H73" s="498"/>
    </row>
    <row r="74" ht="22.5" customHeight="1">
      <c r="A74" s="494" t="s">
        <v>451</v>
      </c>
      <c r="B74" s="495">
        <v>2.068169E7</v>
      </c>
      <c r="C74" s="495">
        <v>2.0681762E7</v>
      </c>
      <c r="D74" s="496" t="s">
        <v>595</v>
      </c>
      <c r="E74" s="496" t="s">
        <v>596</v>
      </c>
      <c r="F74" s="497">
        <v>1.287671</v>
      </c>
      <c r="G74" s="496" t="s">
        <v>294</v>
      </c>
      <c r="H74" s="498"/>
    </row>
    <row r="75" ht="22.5" customHeight="1">
      <c r="A75" s="494" t="s">
        <v>597</v>
      </c>
      <c r="B75" s="495">
        <v>8.9335073E7</v>
      </c>
      <c r="C75" s="495">
        <v>8.9335145E7</v>
      </c>
      <c r="D75" s="496" t="s">
        <v>598</v>
      </c>
      <c r="E75" s="496" t="s">
        <v>599</v>
      </c>
      <c r="F75" s="497">
        <v>1.273972</v>
      </c>
      <c r="G75" s="496" t="s">
        <v>294</v>
      </c>
      <c r="H75" s="498"/>
    </row>
    <row r="76" ht="22.5" customHeight="1">
      <c r="A76" s="494" t="s">
        <v>600</v>
      </c>
      <c r="B76" s="495">
        <v>1.34849487E8</v>
      </c>
      <c r="C76" s="495">
        <v>1.34849564E8</v>
      </c>
      <c r="D76" s="496" t="s">
        <v>601</v>
      </c>
      <c r="E76" s="496" t="s">
        <v>602</v>
      </c>
      <c r="F76" s="497">
        <v>1.26923</v>
      </c>
      <c r="G76" s="496" t="s">
        <v>454</v>
      </c>
      <c r="H76" s="498"/>
    </row>
    <row r="77" ht="22.5" customHeight="1">
      <c r="A77" s="494" t="s">
        <v>603</v>
      </c>
      <c r="B77" s="495">
        <v>1.56400769E8</v>
      </c>
      <c r="C77" s="495">
        <v>1.5640084E8</v>
      </c>
      <c r="D77" s="496" t="s">
        <v>604</v>
      </c>
      <c r="E77" s="496" t="s">
        <v>605</v>
      </c>
      <c r="F77" s="497">
        <v>1.263888</v>
      </c>
      <c r="G77" s="496" t="s">
        <v>294</v>
      </c>
      <c r="H77" s="498"/>
    </row>
    <row r="78" ht="22.5" customHeight="1">
      <c r="A78" s="494" t="s">
        <v>436</v>
      </c>
      <c r="B78" s="495">
        <v>1.61612718E8</v>
      </c>
      <c r="C78" s="495">
        <v>1.61612789E8</v>
      </c>
      <c r="D78" s="496" t="s">
        <v>606</v>
      </c>
      <c r="E78" s="496" t="s">
        <v>607</v>
      </c>
      <c r="F78" s="497">
        <v>1.263888</v>
      </c>
      <c r="G78" s="496" t="s">
        <v>294</v>
      </c>
      <c r="H78" s="498"/>
    </row>
    <row r="79" ht="22.5" customHeight="1">
      <c r="A79" s="494" t="s">
        <v>466</v>
      </c>
      <c r="B79" s="495">
        <v>2.7235509E7</v>
      </c>
      <c r="C79" s="495">
        <v>2.7235581E7</v>
      </c>
      <c r="D79" s="496" t="s">
        <v>608</v>
      </c>
      <c r="E79" s="496" t="s">
        <v>609</v>
      </c>
      <c r="F79" s="497">
        <v>1.260273</v>
      </c>
      <c r="G79" s="496" t="s">
        <v>294</v>
      </c>
      <c r="H79" s="498"/>
    </row>
    <row r="80" ht="22.5" customHeight="1">
      <c r="A80" s="494" t="s">
        <v>610</v>
      </c>
      <c r="B80" s="495">
        <v>4.5688999E7</v>
      </c>
      <c r="C80" s="495">
        <v>4.5689071E7</v>
      </c>
      <c r="D80" s="496" t="s">
        <v>611</v>
      </c>
      <c r="E80" s="496" t="s">
        <v>612</v>
      </c>
      <c r="F80" s="497">
        <v>1.260273</v>
      </c>
      <c r="G80" s="496" t="s">
        <v>294</v>
      </c>
      <c r="H80" s="498"/>
    </row>
    <row r="81" ht="22.5" customHeight="1">
      <c r="A81" s="494" t="s">
        <v>442</v>
      </c>
      <c r="B81" s="495">
        <v>8187160.0</v>
      </c>
      <c r="C81" s="495">
        <v>8187233.0</v>
      </c>
      <c r="D81" s="496" t="s">
        <v>613</v>
      </c>
      <c r="E81" s="496" t="s">
        <v>614</v>
      </c>
      <c r="F81" s="497">
        <v>1.256756</v>
      </c>
      <c r="G81" s="496" t="s">
        <v>294</v>
      </c>
      <c r="H81" s="498"/>
    </row>
    <row r="82" ht="22.5" customHeight="1">
      <c r="A82" s="494" t="s">
        <v>466</v>
      </c>
      <c r="B82" s="495">
        <v>2.7230555E7</v>
      </c>
      <c r="C82" s="495">
        <v>2.7230637E7</v>
      </c>
      <c r="D82" s="496" t="s">
        <v>615</v>
      </c>
      <c r="E82" s="496" t="s">
        <v>616</v>
      </c>
      <c r="F82" s="497">
        <v>1.228915</v>
      </c>
      <c r="G82" s="496" t="s">
        <v>294</v>
      </c>
      <c r="H82" s="498"/>
    </row>
    <row r="83" ht="22.5" customHeight="1">
      <c r="A83" s="494" t="s">
        <v>518</v>
      </c>
      <c r="B83" s="495">
        <v>1.81206868E8</v>
      </c>
      <c r="C83" s="495">
        <v>1.81206939E8</v>
      </c>
      <c r="D83" s="496" t="s">
        <v>617</v>
      </c>
      <c r="E83" s="496" t="s">
        <v>618</v>
      </c>
      <c r="F83" s="497">
        <v>1.222222</v>
      </c>
      <c r="G83" s="496" t="s">
        <v>294</v>
      </c>
      <c r="H83" s="498"/>
    </row>
    <row r="84" ht="22.5" customHeight="1">
      <c r="A84" s="494" t="s">
        <v>619</v>
      </c>
      <c r="B84" s="495">
        <v>4.6597834E7</v>
      </c>
      <c r="C84" s="495">
        <v>4.6598803E7</v>
      </c>
      <c r="D84" s="496" t="s">
        <v>620</v>
      </c>
      <c r="E84" s="496" t="s">
        <v>621</v>
      </c>
      <c r="F84" s="497">
        <v>1.21134</v>
      </c>
      <c r="G84" s="496" t="s">
        <v>220</v>
      </c>
      <c r="H84" s="498"/>
    </row>
    <row r="85" ht="22.5" customHeight="1">
      <c r="A85" s="494" t="s">
        <v>442</v>
      </c>
      <c r="B85" s="495">
        <v>7.5035113E7</v>
      </c>
      <c r="C85" s="495">
        <v>7.5035185E7</v>
      </c>
      <c r="D85" s="496" t="s">
        <v>622</v>
      </c>
      <c r="E85" s="496" t="s">
        <v>623</v>
      </c>
      <c r="F85" s="497">
        <v>1.205479</v>
      </c>
      <c r="G85" s="496" t="s">
        <v>294</v>
      </c>
      <c r="H85" s="498"/>
    </row>
    <row r="86" ht="22.5" customHeight="1">
      <c r="A86" s="494" t="s">
        <v>466</v>
      </c>
      <c r="B86" s="495">
        <v>2.6327589E7</v>
      </c>
      <c r="C86" s="495">
        <v>2.632767E7</v>
      </c>
      <c r="D86" s="496" t="s">
        <v>624</v>
      </c>
      <c r="E86" s="496" t="s">
        <v>625</v>
      </c>
      <c r="F86" s="497">
        <v>1.195121</v>
      </c>
      <c r="G86" s="496" t="s">
        <v>294</v>
      </c>
      <c r="H86" s="498"/>
    </row>
    <row r="87" ht="22.5" customHeight="1">
      <c r="A87" s="494" t="s">
        <v>466</v>
      </c>
      <c r="B87" s="495">
        <v>2.7545689E7</v>
      </c>
      <c r="C87" s="495">
        <v>2.754577E7</v>
      </c>
      <c r="D87" s="496" t="s">
        <v>626</v>
      </c>
      <c r="E87" s="496" t="s">
        <v>627</v>
      </c>
      <c r="F87" s="497">
        <v>1.195121</v>
      </c>
      <c r="G87" s="496" t="s">
        <v>294</v>
      </c>
      <c r="H87" s="498"/>
    </row>
    <row r="88" ht="22.5" customHeight="1">
      <c r="A88" s="494" t="s">
        <v>628</v>
      </c>
      <c r="B88" s="495">
        <v>6.2550452E7</v>
      </c>
      <c r="C88" s="495">
        <v>6.2551038E7</v>
      </c>
      <c r="D88" s="496" t="s">
        <v>629</v>
      </c>
      <c r="E88" s="496" t="s">
        <v>630</v>
      </c>
      <c r="F88" s="497">
        <v>1.192504</v>
      </c>
      <c r="G88" s="496" t="s">
        <v>220</v>
      </c>
      <c r="H88" s="498"/>
    </row>
    <row r="89" ht="22.5" customHeight="1">
      <c r="A89" s="494" t="s">
        <v>466</v>
      </c>
      <c r="B89" s="495">
        <v>5.7822973E7</v>
      </c>
      <c r="C89" s="495">
        <v>5.7823046E7</v>
      </c>
      <c r="D89" s="496" t="s">
        <v>631</v>
      </c>
      <c r="E89" s="496" t="s">
        <v>632</v>
      </c>
      <c r="F89" s="497">
        <v>1.189189</v>
      </c>
      <c r="G89" s="496" t="s">
        <v>294</v>
      </c>
      <c r="H89" s="498"/>
    </row>
    <row r="90" ht="22.5" customHeight="1">
      <c r="A90" s="494" t="s">
        <v>466</v>
      </c>
      <c r="B90" s="495">
        <v>2.6311196E7</v>
      </c>
      <c r="C90" s="495">
        <v>2.6311267E7</v>
      </c>
      <c r="D90" s="496" t="s">
        <v>633</v>
      </c>
      <c r="E90" s="496" t="s">
        <v>634</v>
      </c>
      <c r="F90" s="497">
        <v>1.180555</v>
      </c>
      <c r="G90" s="496" t="s">
        <v>294</v>
      </c>
      <c r="H90" s="498"/>
    </row>
    <row r="91" ht="22.5" customHeight="1">
      <c r="A91" s="494" t="s">
        <v>466</v>
      </c>
      <c r="B91" s="495">
        <v>2.7791356E7</v>
      </c>
      <c r="C91" s="495">
        <v>2.7791427E7</v>
      </c>
      <c r="D91" s="496" t="s">
        <v>635</v>
      </c>
      <c r="E91" s="496" t="s">
        <v>636</v>
      </c>
      <c r="F91" s="497">
        <v>1.180555</v>
      </c>
      <c r="G91" s="496" t="s">
        <v>294</v>
      </c>
      <c r="H91" s="498"/>
    </row>
    <row r="92" ht="22.5" customHeight="1">
      <c r="A92" s="494" t="s">
        <v>466</v>
      </c>
      <c r="B92" s="495">
        <v>2.8747744E7</v>
      </c>
      <c r="C92" s="495">
        <v>2.8747816E7</v>
      </c>
      <c r="D92" s="496" t="s">
        <v>637</v>
      </c>
      <c r="E92" s="496" t="s">
        <v>638</v>
      </c>
      <c r="F92" s="497">
        <v>1.178082</v>
      </c>
      <c r="G92" s="496" t="s">
        <v>294</v>
      </c>
      <c r="H92" s="498"/>
    </row>
    <row r="93" ht="22.5" customHeight="1">
      <c r="A93" s="494" t="s">
        <v>436</v>
      </c>
      <c r="B93" s="495">
        <v>2.22465005E8</v>
      </c>
      <c r="C93" s="495">
        <v>2.22465077E8</v>
      </c>
      <c r="D93" s="496" t="s">
        <v>639</v>
      </c>
      <c r="E93" s="496" t="s">
        <v>640</v>
      </c>
      <c r="F93" s="497">
        <v>1.178082</v>
      </c>
      <c r="G93" s="496" t="s">
        <v>294</v>
      </c>
      <c r="H93" s="498"/>
    </row>
    <row r="94" ht="22.5" customHeight="1">
      <c r="A94" s="494" t="s">
        <v>436</v>
      </c>
      <c r="B94" s="495">
        <v>1.43803994E8</v>
      </c>
      <c r="C94" s="495">
        <v>1.43804066E8</v>
      </c>
      <c r="D94" s="496" t="s">
        <v>641</v>
      </c>
      <c r="E94" s="496" t="s">
        <v>642</v>
      </c>
      <c r="F94" s="497">
        <v>1.164383</v>
      </c>
      <c r="G94" s="496" t="s">
        <v>294</v>
      </c>
      <c r="H94" s="498"/>
    </row>
    <row r="95" ht="22.5" customHeight="1">
      <c r="A95" s="494" t="s">
        <v>466</v>
      </c>
      <c r="B95" s="495">
        <v>2.6553503E7</v>
      </c>
      <c r="C95" s="495">
        <v>2.6553574E7</v>
      </c>
      <c r="D95" s="496" t="s">
        <v>643</v>
      </c>
      <c r="E95" s="496" t="s">
        <v>644</v>
      </c>
      <c r="F95" s="497">
        <v>1.152777</v>
      </c>
      <c r="G95" s="496" t="s">
        <v>294</v>
      </c>
      <c r="H95" s="498"/>
    </row>
    <row r="96" ht="22.5" customHeight="1">
      <c r="A96" s="494" t="s">
        <v>436</v>
      </c>
      <c r="B96" s="495">
        <v>1.5367125E8</v>
      </c>
      <c r="C96" s="495">
        <v>1.53671321E8</v>
      </c>
      <c r="D96" s="496" t="s">
        <v>645</v>
      </c>
      <c r="E96" s="496" t="s">
        <v>646</v>
      </c>
      <c r="F96" s="497">
        <v>1.152777</v>
      </c>
      <c r="G96" s="496" t="s">
        <v>294</v>
      </c>
      <c r="H96" s="498"/>
    </row>
    <row r="97" ht="22.5" customHeight="1">
      <c r="A97" s="494" t="s">
        <v>436</v>
      </c>
      <c r="B97" s="495">
        <v>1.21020729E8</v>
      </c>
      <c r="C97" s="495">
        <v>1.21020801E8</v>
      </c>
      <c r="D97" s="496" t="s">
        <v>647</v>
      </c>
      <c r="E97" s="496" t="s">
        <v>648</v>
      </c>
      <c r="F97" s="497">
        <v>1.150684</v>
      </c>
      <c r="G97" s="496" t="s">
        <v>294</v>
      </c>
      <c r="H97" s="498"/>
    </row>
    <row r="98" ht="22.5" customHeight="1">
      <c r="A98" s="494" t="s">
        <v>445</v>
      </c>
      <c r="B98" s="495">
        <v>4.903702E7</v>
      </c>
      <c r="C98" s="495">
        <v>4.9037147E7</v>
      </c>
      <c r="D98" s="496" t="s">
        <v>649</v>
      </c>
      <c r="E98" s="496" t="s">
        <v>650</v>
      </c>
      <c r="F98" s="497">
        <v>1.140625</v>
      </c>
      <c r="G98" s="496" t="s">
        <v>448</v>
      </c>
      <c r="H98" s="498"/>
    </row>
    <row r="99" ht="22.5" customHeight="1">
      <c r="A99" s="494" t="s">
        <v>466</v>
      </c>
      <c r="B99" s="495">
        <v>2.6299677E7</v>
      </c>
      <c r="C99" s="495">
        <v>2.6299749E7</v>
      </c>
      <c r="D99" s="496" t="s">
        <v>651</v>
      </c>
      <c r="E99" s="496" t="s">
        <v>652</v>
      </c>
      <c r="F99" s="497">
        <v>1.136986</v>
      </c>
      <c r="G99" s="496" t="s">
        <v>294</v>
      </c>
      <c r="H99" s="498"/>
    </row>
    <row r="100" ht="22.5" customHeight="1">
      <c r="A100" s="494" t="s">
        <v>653</v>
      </c>
      <c r="B100" s="495">
        <v>1.49415138E8</v>
      </c>
      <c r="C100" s="495">
        <v>1.49415209E8</v>
      </c>
      <c r="D100" s="496" t="s">
        <v>654</v>
      </c>
      <c r="E100" s="496" t="s">
        <v>655</v>
      </c>
      <c r="F100" s="497">
        <v>1.125</v>
      </c>
      <c r="G100" s="496" t="s">
        <v>294</v>
      </c>
      <c r="H100" s="498"/>
    </row>
    <row r="101" ht="22.5" customHeight="1">
      <c r="A101" s="494" t="s">
        <v>436</v>
      </c>
      <c r="B101" s="495">
        <v>1.61440825E8</v>
      </c>
      <c r="C101" s="495">
        <v>1.61440896E8</v>
      </c>
      <c r="D101" s="496" t="s">
        <v>656</v>
      </c>
      <c r="E101" s="496" t="s">
        <v>657</v>
      </c>
      <c r="F101" s="497">
        <v>1.125</v>
      </c>
      <c r="G101" s="496" t="s">
        <v>294</v>
      </c>
      <c r="H101" s="498"/>
    </row>
    <row r="102" ht="22.5" customHeight="1">
      <c r="A102" s="494" t="s">
        <v>451</v>
      </c>
      <c r="B102" s="495">
        <v>8.8979098E7</v>
      </c>
      <c r="C102" s="495">
        <v>8.897917E7</v>
      </c>
      <c r="D102" s="496" t="s">
        <v>658</v>
      </c>
      <c r="E102" s="496" t="s">
        <v>659</v>
      </c>
      <c r="F102" s="497">
        <v>1.123287</v>
      </c>
      <c r="G102" s="496" t="s">
        <v>294</v>
      </c>
      <c r="H102" s="498"/>
    </row>
    <row r="103" ht="22.5" customHeight="1">
      <c r="A103" s="494" t="s">
        <v>466</v>
      </c>
      <c r="B103" s="495">
        <v>2.7297996E7</v>
      </c>
      <c r="C103" s="495">
        <v>2.7298077E7</v>
      </c>
      <c r="D103" s="496" t="s">
        <v>660</v>
      </c>
      <c r="E103" s="496" t="s">
        <v>661</v>
      </c>
      <c r="F103" s="497">
        <v>1.121951</v>
      </c>
      <c r="G103" s="496" t="s">
        <v>294</v>
      </c>
      <c r="H103" s="498"/>
    </row>
    <row r="104" ht="22.5" customHeight="1">
      <c r="A104" s="494" t="s">
        <v>466</v>
      </c>
      <c r="B104" s="495">
        <v>2.7505828E7</v>
      </c>
      <c r="C104" s="495">
        <v>2.7505909E7</v>
      </c>
      <c r="D104" s="496" t="s">
        <v>662</v>
      </c>
      <c r="E104" s="496" t="s">
        <v>663</v>
      </c>
      <c r="F104" s="497">
        <v>1.121951</v>
      </c>
      <c r="G104" s="496" t="s">
        <v>294</v>
      </c>
      <c r="H104" s="498"/>
    </row>
    <row r="105" ht="22.5" customHeight="1">
      <c r="A105" s="494" t="s">
        <v>597</v>
      </c>
      <c r="B105" s="495">
        <v>6.7839939E7</v>
      </c>
      <c r="C105" s="495">
        <v>6.7840045E7</v>
      </c>
      <c r="D105" s="496" t="s">
        <v>664</v>
      </c>
      <c r="E105" s="496" t="s">
        <v>665</v>
      </c>
      <c r="F105" s="497">
        <v>1.121495</v>
      </c>
      <c r="G105" s="496" t="s">
        <v>439</v>
      </c>
      <c r="H105" s="498"/>
    </row>
    <row r="106" ht="22.5" customHeight="1">
      <c r="A106" s="494" t="s">
        <v>442</v>
      </c>
      <c r="B106" s="495">
        <v>3.8869292E7</v>
      </c>
      <c r="C106" s="495">
        <v>3.8869363E7</v>
      </c>
      <c r="D106" s="496" t="s">
        <v>666</v>
      </c>
      <c r="E106" s="496" t="s">
        <v>667</v>
      </c>
      <c r="F106" s="497">
        <v>1.111111</v>
      </c>
      <c r="G106" s="496" t="s">
        <v>294</v>
      </c>
      <c r="H106" s="498"/>
    </row>
    <row r="107" ht="22.5" customHeight="1">
      <c r="A107" s="494" t="s">
        <v>518</v>
      </c>
      <c r="B107" s="495">
        <v>1.81187701E8</v>
      </c>
      <c r="C107" s="495">
        <v>1.81187782E8</v>
      </c>
      <c r="D107" s="496" t="s">
        <v>668</v>
      </c>
      <c r="E107" s="496" t="s">
        <v>669</v>
      </c>
      <c r="F107" s="497">
        <v>1.109756</v>
      </c>
      <c r="G107" s="496" t="s">
        <v>294</v>
      </c>
      <c r="H107" s="498"/>
    </row>
    <row r="108" ht="22.5" customHeight="1">
      <c r="A108" s="494" t="s">
        <v>436</v>
      </c>
      <c r="B108" s="495">
        <v>1.44567515E8</v>
      </c>
      <c r="C108" s="495">
        <v>1.44567588E8</v>
      </c>
      <c r="D108" s="496" t="s">
        <v>670</v>
      </c>
      <c r="E108" s="496" t="s">
        <v>671</v>
      </c>
      <c r="F108" s="497">
        <v>1.108108</v>
      </c>
      <c r="G108" s="496" t="s">
        <v>294</v>
      </c>
      <c r="H108" s="498"/>
    </row>
    <row r="109" ht="22.5" customHeight="1">
      <c r="A109" s="494" t="s">
        <v>466</v>
      </c>
      <c r="B109" s="495">
        <v>2.8673836E7</v>
      </c>
      <c r="C109" s="495">
        <v>2.8673907E7</v>
      </c>
      <c r="D109" s="496" t="s">
        <v>672</v>
      </c>
      <c r="E109" s="496" t="s">
        <v>673</v>
      </c>
      <c r="F109" s="497">
        <v>1.097222</v>
      </c>
      <c r="G109" s="496" t="s">
        <v>294</v>
      </c>
      <c r="H109" s="498"/>
    </row>
    <row r="110" ht="22.5" customHeight="1">
      <c r="A110" s="494" t="s">
        <v>597</v>
      </c>
      <c r="B110" s="495">
        <v>9.0954335E7</v>
      </c>
      <c r="C110" s="495">
        <v>9.0954493E7</v>
      </c>
      <c r="D110" s="496" t="s">
        <v>674</v>
      </c>
      <c r="E110" s="496" t="s">
        <v>675</v>
      </c>
      <c r="F110" s="497">
        <v>1.056603</v>
      </c>
      <c r="G110" s="496" t="s">
        <v>220</v>
      </c>
      <c r="H110" s="498"/>
    </row>
    <row r="111" ht="22.5" customHeight="1">
      <c r="A111" s="494" t="s">
        <v>485</v>
      </c>
      <c r="B111" s="495">
        <v>636736.0</v>
      </c>
      <c r="C111" s="495">
        <v>636806.0</v>
      </c>
      <c r="D111" s="496" t="s">
        <v>676</v>
      </c>
      <c r="E111" s="496" t="s">
        <v>677</v>
      </c>
      <c r="F111" s="497">
        <v>1.056338</v>
      </c>
      <c r="G111" s="496" t="s">
        <v>294</v>
      </c>
      <c r="H111" s="498"/>
    </row>
    <row r="112" ht="22.5" customHeight="1">
      <c r="A112" s="494" t="s">
        <v>466</v>
      </c>
      <c r="B112" s="495">
        <v>2.8589379E7</v>
      </c>
      <c r="C112" s="495">
        <v>2.858945E7</v>
      </c>
      <c r="D112" s="496" t="s">
        <v>678</v>
      </c>
      <c r="E112" s="496" t="s">
        <v>679</v>
      </c>
      <c r="F112" s="497">
        <v>1.055555</v>
      </c>
      <c r="G112" s="496" t="s">
        <v>294</v>
      </c>
      <c r="H112" s="498"/>
    </row>
    <row r="113" ht="22.5" customHeight="1">
      <c r="A113" s="494" t="s">
        <v>466</v>
      </c>
      <c r="B113" s="495">
        <v>2.7650928E7</v>
      </c>
      <c r="C113" s="495">
        <v>2.7651E7</v>
      </c>
      <c r="D113" s="496" t="s">
        <v>680</v>
      </c>
      <c r="E113" s="496" t="s">
        <v>681</v>
      </c>
      <c r="F113" s="497">
        <v>1.054794</v>
      </c>
      <c r="G113" s="496" t="s">
        <v>294</v>
      </c>
      <c r="H113" s="498"/>
    </row>
    <row r="114" ht="22.5" customHeight="1">
      <c r="A114" s="494" t="s">
        <v>466</v>
      </c>
      <c r="B114" s="495">
        <v>2.8643445E7</v>
      </c>
      <c r="C114" s="495">
        <v>2.8643516E7</v>
      </c>
      <c r="D114" s="496" t="s">
        <v>682</v>
      </c>
      <c r="E114" s="496" t="s">
        <v>683</v>
      </c>
      <c r="F114" s="497">
        <v>1.041666</v>
      </c>
      <c r="G114" s="496" t="s">
        <v>294</v>
      </c>
      <c r="H114" s="498"/>
    </row>
    <row r="115" ht="22.5" customHeight="1">
      <c r="A115" s="494" t="s">
        <v>436</v>
      </c>
      <c r="B115" s="495">
        <v>1.6889677E7</v>
      </c>
      <c r="C115" s="495">
        <v>1.688975E7</v>
      </c>
      <c r="D115" s="496" t="s">
        <v>684</v>
      </c>
      <c r="E115" s="496" t="s">
        <v>685</v>
      </c>
      <c r="F115" s="497">
        <v>1.04054</v>
      </c>
      <c r="G115" s="496" t="s">
        <v>294</v>
      </c>
      <c r="H115" s="498"/>
    </row>
    <row r="116" ht="22.5" customHeight="1">
      <c r="A116" s="494" t="s">
        <v>466</v>
      </c>
      <c r="B116" s="495">
        <v>2.7209849E7</v>
      </c>
      <c r="C116" s="495">
        <v>2.720993E7</v>
      </c>
      <c r="D116" s="496" t="s">
        <v>686</v>
      </c>
      <c r="E116" s="496" t="s">
        <v>687</v>
      </c>
      <c r="F116" s="497">
        <v>1.036585</v>
      </c>
      <c r="G116" s="496" t="s">
        <v>294</v>
      </c>
      <c r="H116" s="498"/>
    </row>
    <row r="117" ht="22.5" customHeight="1">
      <c r="A117" s="494" t="s">
        <v>436</v>
      </c>
      <c r="B117" s="495">
        <v>1.44419267E8</v>
      </c>
      <c r="C117" s="495">
        <v>1.4441934E8</v>
      </c>
      <c r="D117" s="496" t="s">
        <v>688</v>
      </c>
      <c r="E117" s="496" t="s">
        <v>689</v>
      </c>
      <c r="F117" s="497">
        <v>1.027027</v>
      </c>
      <c r="G117" s="496" t="s">
        <v>294</v>
      </c>
      <c r="H117" s="498"/>
    </row>
    <row r="118" ht="22.5" customHeight="1">
      <c r="A118" s="494" t="s">
        <v>690</v>
      </c>
      <c r="B118" s="495">
        <v>4.2614853E7</v>
      </c>
      <c r="C118" s="495">
        <v>4.2616297E7</v>
      </c>
      <c r="D118" s="496" t="s">
        <v>691</v>
      </c>
      <c r="E118" s="496" t="s">
        <v>692</v>
      </c>
      <c r="F118" s="497">
        <v>1.026297</v>
      </c>
      <c r="G118" s="496" t="s">
        <v>220</v>
      </c>
      <c r="H118" s="498"/>
    </row>
    <row r="119" ht="22.5" customHeight="1">
      <c r="A119" s="494" t="s">
        <v>445</v>
      </c>
      <c r="B119" s="495">
        <v>5.0604963E7</v>
      </c>
      <c r="C119" s="495">
        <v>5.0605085E7</v>
      </c>
      <c r="D119" s="496" t="s">
        <v>693</v>
      </c>
      <c r="E119" s="496" t="s">
        <v>694</v>
      </c>
      <c r="F119" s="497">
        <v>1.02439</v>
      </c>
      <c r="G119" s="496" t="s">
        <v>448</v>
      </c>
      <c r="H119" s="498"/>
    </row>
    <row r="120" ht="22.5" customHeight="1">
      <c r="A120" s="494" t="s">
        <v>653</v>
      </c>
      <c r="B120" s="495">
        <v>1.55367809E8</v>
      </c>
      <c r="C120" s="495">
        <v>1.55367933E8</v>
      </c>
      <c r="D120" s="496" t="s">
        <v>695</v>
      </c>
      <c r="E120" s="496" t="s">
        <v>696</v>
      </c>
      <c r="F120" s="497">
        <v>1.024</v>
      </c>
      <c r="G120" s="496" t="s">
        <v>220</v>
      </c>
      <c r="H120" s="498"/>
    </row>
    <row r="121" ht="22.5" customHeight="1">
      <c r="A121" s="494" t="s">
        <v>477</v>
      </c>
      <c r="B121" s="495">
        <v>5.9556429E7</v>
      </c>
      <c r="C121" s="495">
        <v>5.9556501E7</v>
      </c>
      <c r="D121" s="496" t="s">
        <v>697</v>
      </c>
      <c r="E121" s="496" t="s">
        <v>698</v>
      </c>
      <c r="F121" s="497">
        <v>1.013698</v>
      </c>
      <c r="G121" s="496" t="s">
        <v>294</v>
      </c>
      <c r="H121" s="498"/>
    </row>
    <row r="122" ht="22.5" customHeight="1">
      <c r="A122" s="494" t="s">
        <v>442</v>
      </c>
      <c r="B122" s="495">
        <v>7.5034431E7</v>
      </c>
      <c r="C122" s="495">
        <v>7.5034503E7</v>
      </c>
      <c r="D122" s="496" t="s">
        <v>699</v>
      </c>
      <c r="E122" s="496" t="s">
        <v>700</v>
      </c>
      <c r="F122" s="497">
        <v>1.013698</v>
      </c>
      <c r="G122" s="496" t="s">
        <v>294</v>
      </c>
      <c r="H122" s="498"/>
    </row>
    <row r="123" ht="22.5" customHeight="1">
      <c r="A123" s="499" t="s">
        <v>466</v>
      </c>
      <c r="B123" s="500">
        <v>2.6312596E7</v>
      </c>
      <c r="C123" s="500">
        <v>2.6312677E7</v>
      </c>
      <c r="D123" s="501" t="s">
        <v>701</v>
      </c>
      <c r="E123" s="501" t="s">
        <v>625</v>
      </c>
      <c r="F123" s="502">
        <v>1.012195</v>
      </c>
      <c r="G123" s="501" t="s">
        <v>294</v>
      </c>
      <c r="H123" s="503"/>
    </row>
    <row r="124">
      <c r="F124" s="504"/>
    </row>
    <row r="125">
      <c r="A125" s="28" t="s">
        <v>702</v>
      </c>
      <c r="F125" s="504"/>
    </row>
    <row r="126">
      <c r="F126" s="504"/>
    </row>
    <row r="127">
      <c r="F127" s="504"/>
    </row>
    <row r="128">
      <c r="F128" s="504"/>
    </row>
    <row r="129">
      <c r="F129" s="504"/>
    </row>
    <row r="130">
      <c r="F130" s="504"/>
    </row>
    <row r="131">
      <c r="F131" s="504"/>
    </row>
    <row r="132">
      <c r="F132" s="504"/>
    </row>
    <row r="133">
      <c r="F133" s="504"/>
    </row>
    <row r="134">
      <c r="F134" s="504"/>
    </row>
    <row r="135">
      <c r="F135" s="504"/>
    </row>
    <row r="136">
      <c r="F136" s="504"/>
    </row>
    <row r="137">
      <c r="F137" s="504"/>
    </row>
    <row r="138">
      <c r="F138" s="504"/>
    </row>
    <row r="139">
      <c r="F139" s="504"/>
    </row>
    <row r="140">
      <c r="F140" s="504"/>
    </row>
    <row r="141">
      <c r="F141" s="504"/>
    </row>
    <row r="142">
      <c r="F142" s="504"/>
    </row>
    <row r="143">
      <c r="F143" s="504"/>
    </row>
    <row r="144">
      <c r="F144" s="504"/>
    </row>
    <row r="145">
      <c r="F145" s="504"/>
    </row>
    <row r="146">
      <c r="F146" s="504"/>
    </row>
    <row r="147">
      <c r="F147" s="504"/>
    </row>
    <row r="148">
      <c r="F148" s="504"/>
    </row>
    <row r="149">
      <c r="F149" s="504"/>
    </row>
    <row r="150">
      <c r="F150" s="504"/>
    </row>
    <row r="151">
      <c r="F151" s="504"/>
    </row>
    <row r="152">
      <c r="F152" s="504"/>
    </row>
    <row r="153">
      <c r="F153" s="504"/>
    </row>
    <row r="154">
      <c r="F154" s="504"/>
    </row>
    <row r="155">
      <c r="F155" s="504"/>
    </row>
    <row r="156">
      <c r="F156" s="504"/>
    </row>
    <row r="157">
      <c r="F157" s="504"/>
    </row>
    <row r="158">
      <c r="F158" s="504"/>
    </row>
    <row r="159">
      <c r="F159" s="504"/>
    </row>
    <row r="160">
      <c r="F160" s="504"/>
    </row>
    <row r="161">
      <c r="F161" s="504"/>
    </row>
    <row r="162">
      <c r="F162" s="504"/>
    </row>
    <row r="163">
      <c r="F163" s="504"/>
    </row>
    <row r="164">
      <c r="F164" s="504"/>
    </row>
    <row r="165">
      <c r="F165" s="504"/>
    </row>
    <row r="166">
      <c r="F166" s="504"/>
    </row>
    <row r="167">
      <c r="F167" s="504"/>
    </row>
    <row r="168">
      <c r="F168" s="504"/>
    </row>
    <row r="169">
      <c r="F169" s="504"/>
    </row>
    <row r="170">
      <c r="F170" s="504"/>
    </row>
    <row r="171">
      <c r="F171" s="504"/>
    </row>
    <row r="172">
      <c r="F172" s="504"/>
    </row>
    <row r="173">
      <c r="F173" s="504"/>
    </row>
    <row r="174">
      <c r="F174" s="504"/>
    </row>
    <row r="175">
      <c r="F175" s="504"/>
    </row>
    <row r="176">
      <c r="F176" s="504"/>
    </row>
    <row r="177">
      <c r="F177" s="504"/>
    </row>
    <row r="178">
      <c r="F178" s="504"/>
    </row>
    <row r="179">
      <c r="F179" s="504"/>
    </row>
    <row r="180">
      <c r="F180" s="504"/>
    </row>
    <row r="181">
      <c r="F181" s="504"/>
    </row>
    <row r="182">
      <c r="F182" s="504"/>
    </row>
    <row r="183">
      <c r="F183" s="504"/>
    </row>
    <row r="184">
      <c r="F184" s="504"/>
    </row>
    <row r="185">
      <c r="F185" s="504"/>
    </row>
    <row r="186">
      <c r="F186" s="504"/>
    </row>
    <row r="187">
      <c r="F187" s="504"/>
    </row>
    <row r="188">
      <c r="F188" s="504"/>
    </row>
    <row r="189">
      <c r="F189" s="504"/>
    </row>
    <row r="190">
      <c r="F190" s="504"/>
    </row>
    <row r="191">
      <c r="F191" s="504"/>
    </row>
    <row r="192">
      <c r="F192" s="504"/>
    </row>
    <row r="193">
      <c r="F193" s="504"/>
    </row>
    <row r="194">
      <c r="F194" s="504"/>
    </row>
    <row r="195">
      <c r="F195" s="504"/>
    </row>
    <row r="196">
      <c r="F196" s="504"/>
    </row>
    <row r="197">
      <c r="F197" s="504"/>
    </row>
    <row r="198">
      <c r="F198" s="504"/>
    </row>
    <row r="199">
      <c r="F199" s="504"/>
    </row>
    <row r="200">
      <c r="F200" s="504"/>
    </row>
    <row r="201">
      <c r="F201" s="504"/>
    </row>
    <row r="202">
      <c r="F202" s="504"/>
    </row>
    <row r="203">
      <c r="F203" s="504"/>
    </row>
    <row r="204">
      <c r="F204" s="504"/>
    </row>
    <row r="205">
      <c r="F205" s="504"/>
    </row>
    <row r="206">
      <c r="F206" s="504"/>
    </row>
    <row r="207">
      <c r="F207" s="504"/>
    </row>
    <row r="208">
      <c r="F208" s="504"/>
    </row>
    <row r="209">
      <c r="F209" s="504"/>
    </row>
    <row r="210">
      <c r="F210" s="504"/>
    </row>
    <row r="211">
      <c r="F211" s="504"/>
    </row>
    <row r="212">
      <c r="F212" s="504"/>
    </row>
    <row r="213">
      <c r="F213" s="504"/>
    </row>
    <row r="214">
      <c r="F214" s="504"/>
    </row>
    <row r="215">
      <c r="F215" s="504"/>
    </row>
    <row r="216">
      <c r="F216" s="504"/>
    </row>
    <row r="217">
      <c r="F217" s="504"/>
    </row>
    <row r="218">
      <c r="F218" s="504"/>
    </row>
    <row r="219">
      <c r="F219" s="504"/>
    </row>
    <row r="220">
      <c r="F220" s="504"/>
    </row>
    <row r="221">
      <c r="F221" s="504"/>
    </row>
    <row r="222">
      <c r="F222" s="504"/>
    </row>
    <row r="223">
      <c r="F223" s="504"/>
    </row>
    <row r="224">
      <c r="F224" s="504"/>
    </row>
    <row r="225">
      <c r="F225" s="504"/>
    </row>
    <row r="226">
      <c r="F226" s="504"/>
    </row>
    <row r="227">
      <c r="F227" s="504"/>
    </row>
    <row r="228">
      <c r="F228" s="504"/>
    </row>
    <row r="229">
      <c r="F229" s="504"/>
    </row>
    <row r="230">
      <c r="F230" s="504"/>
    </row>
    <row r="231">
      <c r="F231" s="504"/>
    </row>
    <row r="232">
      <c r="F232" s="504"/>
    </row>
    <row r="233">
      <c r="F233" s="504"/>
    </row>
    <row r="234">
      <c r="F234" s="504"/>
    </row>
    <row r="235">
      <c r="F235" s="504"/>
    </row>
    <row r="236">
      <c r="F236" s="504"/>
    </row>
    <row r="237">
      <c r="F237" s="504"/>
    </row>
    <row r="238">
      <c r="F238" s="504"/>
    </row>
    <row r="239">
      <c r="F239" s="504"/>
    </row>
    <row r="240">
      <c r="F240" s="504"/>
    </row>
    <row r="241">
      <c r="F241" s="504"/>
    </row>
    <row r="242">
      <c r="F242" s="504"/>
    </row>
    <row r="243">
      <c r="F243" s="504"/>
    </row>
    <row r="244">
      <c r="F244" s="504"/>
    </row>
    <row r="245">
      <c r="F245" s="504"/>
    </row>
    <row r="246">
      <c r="F246" s="504"/>
    </row>
    <row r="247">
      <c r="F247" s="504"/>
    </row>
    <row r="248">
      <c r="F248" s="504"/>
    </row>
    <row r="249">
      <c r="F249" s="504"/>
    </row>
    <row r="250">
      <c r="F250" s="504"/>
    </row>
    <row r="251">
      <c r="F251" s="504"/>
    </row>
    <row r="252">
      <c r="F252" s="504"/>
    </row>
    <row r="253">
      <c r="F253" s="504"/>
    </row>
    <row r="254">
      <c r="F254" s="504"/>
    </row>
    <row r="255">
      <c r="F255" s="504"/>
    </row>
    <row r="256">
      <c r="F256" s="504"/>
    </row>
    <row r="257">
      <c r="F257" s="504"/>
    </row>
    <row r="258">
      <c r="F258" s="504"/>
    </row>
    <row r="259">
      <c r="F259" s="504"/>
    </row>
    <row r="260">
      <c r="F260" s="504"/>
    </row>
    <row r="261">
      <c r="F261" s="504"/>
    </row>
    <row r="262">
      <c r="F262" s="504"/>
    </row>
    <row r="263">
      <c r="F263" s="504"/>
    </row>
    <row r="264">
      <c r="F264" s="504"/>
    </row>
    <row r="265">
      <c r="F265" s="504"/>
    </row>
    <row r="266">
      <c r="F266" s="504"/>
    </row>
    <row r="267">
      <c r="F267" s="504"/>
    </row>
    <row r="268">
      <c r="F268" s="504"/>
    </row>
    <row r="269">
      <c r="F269" s="504"/>
    </row>
    <row r="270">
      <c r="F270" s="504"/>
    </row>
    <row r="271">
      <c r="F271" s="504"/>
    </row>
    <row r="272">
      <c r="F272" s="504"/>
    </row>
    <row r="273">
      <c r="F273" s="504"/>
    </row>
    <row r="274">
      <c r="F274" s="504"/>
    </row>
    <row r="275">
      <c r="F275" s="504"/>
    </row>
    <row r="276">
      <c r="F276" s="504"/>
    </row>
    <row r="277">
      <c r="F277" s="504"/>
    </row>
    <row r="278">
      <c r="F278" s="504"/>
    </row>
    <row r="279">
      <c r="F279" s="504"/>
    </row>
    <row r="280">
      <c r="F280" s="504"/>
    </row>
    <row r="281">
      <c r="F281" s="504"/>
    </row>
    <row r="282">
      <c r="F282" s="504"/>
    </row>
    <row r="283">
      <c r="F283" s="504"/>
    </row>
    <row r="284">
      <c r="F284" s="504"/>
    </row>
    <row r="285">
      <c r="F285" s="504"/>
    </row>
    <row r="286">
      <c r="F286" s="504"/>
    </row>
    <row r="287">
      <c r="F287" s="504"/>
    </row>
    <row r="288">
      <c r="F288" s="504"/>
    </row>
    <row r="289">
      <c r="F289" s="504"/>
    </row>
    <row r="290">
      <c r="F290" s="504"/>
    </row>
    <row r="291">
      <c r="F291" s="504"/>
    </row>
    <row r="292">
      <c r="F292" s="504"/>
    </row>
    <row r="293">
      <c r="F293" s="504"/>
    </row>
    <row r="294">
      <c r="F294" s="504"/>
    </row>
    <row r="295">
      <c r="F295" s="504"/>
    </row>
    <row r="296">
      <c r="F296" s="504"/>
    </row>
    <row r="297">
      <c r="F297" s="504"/>
    </row>
    <row r="298">
      <c r="F298" s="504"/>
    </row>
    <row r="299">
      <c r="F299" s="504"/>
    </row>
    <row r="300">
      <c r="F300" s="504"/>
    </row>
    <row r="301">
      <c r="F301" s="504"/>
    </row>
    <row r="302">
      <c r="F302" s="504"/>
    </row>
    <row r="303">
      <c r="F303" s="504"/>
    </row>
    <row r="304">
      <c r="F304" s="504"/>
    </row>
    <row r="305">
      <c r="F305" s="504"/>
    </row>
    <row r="306">
      <c r="F306" s="504"/>
    </row>
    <row r="307">
      <c r="F307" s="504"/>
    </row>
    <row r="308">
      <c r="F308" s="504"/>
    </row>
    <row r="309">
      <c r="F309" s="504"/>
    </row>
    <row r="310">
      <c r="F310" s="504"/>
    </row>
    <row r="311">
      <c r="F311" s="504"/>
    </row>
    <row r="312">
      <c r="F312" s="504"/>
    </row>
    <row r="313">
      <c r="F313" s="504"/>
    </row>
    <row r="314">
      <c r="F314" s="504"/>
    </row>
    <row r="315">
      <c r="F315" s="504"/>
    </row>
    <row r="316">
      <c r="F316" s="504"/>
    </row>
    <row r="317">
      <c r="F317" s="504"/>
    </row>
    <row r="318">
      <c r="F318" s="504"/>
    </row>
    <row r="319">
      <c r="F319" s="504"/>
    </row>
    <row r="320">
      <c r="F320" s="504"/>
    </row>
    <row r="321">
      <c r="F321" s="504"/>
    </row>
    <row r="322">
      <c r="F322" s="504"/>
    </row>
    <row r="323">
      <c r="F323" s="504"/>
    </row>
    <row r="324">
      <c r="F324" s="504"/>
    </row>
    <row r="325">
      <c r="F325" s="504"/>
    </row>
    <row r="326">
      <c r="F326" s="504"/>
    </row>
    <row r="327">
      <c r="F327" s="504"/>
    </row>
    <row r="328">
      <c r="F328" s="504"/>
    </row>
    <row r="329">
      <c r="F329" s="504"/>
    </row>
    <row r="330">
      <c r="F330" s="504"/>
    </row>
    <row r="331">
      <c r="F331" s="504"/>
    </row>
    <row r="332">
      <c r="F332" s="504"/>
    </row>
    <row r="333">
      <c r="F333" s="504"/>
    </row>
    <row r="334">
      <c r="F334" s="504"/>
    </row>
    <row r="335">
      <c r="F335" s="504"/>
    </row>
    <row r="336">
      <c r="F336" s="504"/>
    </row>
    <row r="337">
      <c r="F337" s="504"/>
    </row>
    <row r="338">
      <c r="F338" s="504"/>
    </row>
    <row r="339">
      <c r="F339" s="504"/>
    </row>
    <row r="340">
      <c r="F340" s="504"/>
    </row>
    <row r="341">
      <c r="F341" s="504"/>
    </row>
    <row r="342">
      <c r="F342" s="504"/>
    </row>
    <row r="343">
      <c r="F343" s="504"/>
    </row>
    <row r="344">
      <c r="F344" s="504"/>
    </row>
    <row r="345">
      <c r="F345" s="504"/>
    </row>
    <row r="346">
      <c r="F346" s="504"/>
    </row>
    <row r="347">
      <c r="F347" s="504"/>
    </row>
    <row r="348">
      <c r="F348" s="504"/>
    </row>
    <row r="349">
      <c r="F349" s="504"/>
    </row>
    <row r="350">
      <c r="F350" s="504"/>
    </row>
    <row r="351">
      <c r="F351" s="504"/>
    </row>
    <row r="352">
      <c r="F352" s="504"/>
    </row>
    <row r="353">
      <c r="F353" s="504"/>
    </row>
    <row r="354">
      <c r="F354" s="504"/>
    </row>
    <row r="355">
      <c r="F355" s="504"/>
    </row>
    <row r="356">
      <c r="F356" s="504"/>
    </row>
    <row r="357">
      <c r="F357" s="504"/>
    </row>
    <row r="358">
      <c r="F358" s="504"/>
    </row>
    <row r="359">
      <c r="F359" s="504"/>
    </row>
    <row r="360">
      <c r="F360" s="504"/>
    </row>
    <row r="361">
      <c r="F361" s="504"/>
    </row>
    <row r="362">
      <c r="F362" s="504"/>
    </row>
    <row r="363">
      <c r="F363" s="504"/>
    </row>
    <row r="364">
      <c r="F364" s="504"/>
    </row>
    <row r="365">
      <c r="F365" s="504"/>
    </row>
    <row r="366">
      <c r="F366" s="504"/>
    </row>
    <row r="367">
      <c r="F367" s="504"/>
    </row>
    <row r="368">
      <c r="F368" s="504"/>
    </row>
    <row r="369">
      <c r="F369" s="504"/>
    </row>
    <row r="370">
      <c r="F370" s="504"/>
    </row>
    <row r="371">
      <c r="F371" s="504"/>
    </row>
    <row r="372">
      <c r="F372" s="504"/>
    </row>
    <row r="373">
      <c r="F373" s="504"/>
    </row>
    <row r="374">
      <c r="F374" s="504"/>
    </row>
    <row r="375">
      <c r="F375" s="504"/>
    </row>
    <row r="376">
      <c r="F376" s="504"/>
    </row>
    <row r="377">
      <c r="F377" s="504"/>
    </row>
    <row r="378">
      <c r="F378" s="504"/>
    </row>
    <row r="379">
      <c r="F379" s="504"/>
    </row>
    <row r="380">
      <c r="F380" s="504"/>
    </row>
    <row r="381">
      <c r="F381" s="504"/>
    </row>
    <row r="382">
      <c r="F382" s="504"/>
    </row>
    <row r="383">
      <c r="F383" s="504"/>
    </row>
    <row r="384">
      <c r="F384" s="504"/>
    </row>
    <row r="385">
      <c r="F385" s="504"/>
    </row>
    <row r="386">
      <c r="F386" s="504"/>
    </row>
    <row r="387">
      <c r="F387" s="504"/>
    </row>
    <row r="388">
      <c r="F388" s="504"/>
    </row>
    <row r="389">
      <c r="F389" s="504"/>
    </row>
    <row r="390">
      <c r="F390" s="504"/>
    </row>
    <row r="391">
      <c r="F391" s="504"/>
    </row>
    <row r="392">
      <c r="F392" s="504"/>
    </row>
    <row r="393">
      <c r="F393" s="504"/>
    </row>
    <row r="394">
      <c r="F394" s="504"/>
    </row>
    <row r="395">
      <c r="F395" s="504"/>
    </row>
    <row r="396">
      <c r="F396" s="504"/>
    </row>
    <row r="397">
      <c r="F397" s="504"/>
    </row>
    <row r="398">
      <c r="F398" s="504"/>
    </row>
    <row r="399">
      <c r="F399" s="504"/>
    </row>
    <row r="400">
      <c r="F400" s="504"/>
    </row>
    <row r="401">
      <c r="F401" s="504"/>
    </row>
    <row r="402">
      <c r="F402" s="504"/>
    </row>
    <row r="403">
      <c r="F403" s="504"/>
    </row>
    <row r="404">
      <c r="F404" s="504"/>
    </row>
    <row r="405">
      <c r="F405" s="504"/>
    </row>
    <row r="406">
      <c r="F406" s="504"/>
    </row>
    <row r="407">
      <c r="F407" s="504"/>
    </row>
    <row r="408">
      <c r="F408" s="504"/>
    </row>
    <row r="409">
      <c r="F409" s="504"/>
    </row>
    <row r="410">
      <c r="F410" s="504"/>
    </row>
    <row r="411">
      <c r="F411" s="504"/>
    </row>
    <row r="412">
      <c r="F412" s="504"/>
    </row>
    <row r="413">
      <c r="F413" s="504"/>
    </row>
    <row r="414">
      <c r="F414" s="504"/>
    </row>
    <row r="415">
      <c r="F415" s="504"/>
    </row>
    <row r="416">
      <c r="F416" s="504"/>
    </row>
    <row r="417">
      <c r="F417" s="504"/>
    </row>
    <row r="418">
      <c r="F418" s="504"/>
    </row>
    <row r="419">
      <c r="F419" s="504"/>
    </row>
    <row r="420">
      <c r="F420" s="504"/>
    </row>
    <row r="421">
      <c r="F421" s="504"/>
    </row>
    <row r="422">
      <c r="F422" s="504"/>
    </row>
    <row r="423">
      <c r="F423" s="504"/>
    </row>
    <row r="424">
      <c r="F424" s="504"/>
    </row>
    <row r="425">
      <c r="F425" s="504"/>
    </row>
    <row r="426">
      <c r="F426" s="504"/>
    </row>
    <row r="427">
      <c r="F427" s="504"/>
    </row>
    <row r="428">
      <c r="F428" s="504"/>
    </row>
    <row r="429">
      <c r="F429" s="504"/>
    </row>
    <row r="430">
      <c r="F430" s="504"/>
    </row>
    <row r="431">
      <c r="F431" s="504"/>
    </row>
    <row r="432">
      <c r="F432" s="504"/>
    </row>
    <row r="433">
      <c r="F433" s="504"/>
    </row>
    <row r="434">
      <c r="F434" s="504"/>
    </row>
    <row r="435">
      <c r="F435" s="504"/>
    </row>
    <row r="436">
      <c r="F436" s="504"/>
    </row>
    <row r="437">
      <c r="F437" s="504"/>
    </row>
    <row r="438">
      <c r="F438" s="504"/>
    </row>
    <row r="439">
      <c r="F439" s="504"/>
    </row>
    <row r="440">
      <c r="F440" s="504"/>
    </row>
    <row r="441">
      <c r="F441" s="504"/>
    </row>
    <row r="442">
      <c r="F442" s="504"/>
    </row>
    <row r="443">
      <c r="F443" s="504"/>
    </row>
    <row r="444">
      <c r="F444" s="504"/>
    </row>
    <row r="445">
      <c r="F445" s="504"/>
    </row>
    <row r="446">
      <c r="F446" s="504"/>
    </row>
    <row r="447">
      <c r="F447" s="504"/>
    </row>
    <row r="448">
      <c r="F448" s="504"/>
    </row>
    <row r="449">
      <c r="F449" s="504"/>
    </row>
    <row r="450">
      <c r="F450" s="504"/>
    </row>
    <row r="451">
      <c r="F451" s="504"/>
    </row>
    <row r="452">
      <c r="F452" s="504"/>
    </row>
    <row r="453">
      <c r="F453" s="504"/>
    </row>
    <row r="454">
      <c r="F454" s="504"/>
    </row>
    <row r="455">
      <c r="F455" s="504"/>
    </row>
    <row r="456">
      <c r="F456" s="504"/>
    </row>
    <row r="457">
      <c r="F457" s="504"/>
    </row>
    <row r="458">
      <c r="F458" s="504"/>
    </row>
    <row r="459">
      <c r="F459" s="504"/>
    </row>
    <row r="460">
      <c r="F460" s="504"/>
    </row>
    <row r="461">
      <c r="F461" s="504"/>
    </row>
    <row r="462">
      <c r="F462" s="504"/>
    </row>
    <row r="463">
      <c r="F463" s="504"/>
    </row>
    <row r="464">
      <c r="F464" s="504"/>
    </row>
    <row r="465">
      <c r="F465" s="504"/>
    </row>
    <row r="466">
      <c r="F466" s="504"/>
    </row>
    <row r="467">
      <c r="F467" s="504"/>
    </row>
    <row r="468">
      <c r="F468" s="504"/>
    </row>
    <row r="469">
      <c r="F469" s="504"/>
    </row>
    <row r="470">
      <c r="F470" s="504"/>
    </row>
    <row r="471">
      <c r="F471" s="504"/>
    </row>
    <row r="472">
      <c r="F472" s="504"/>
    </row>
    <row r="473">
      <c r="F473" s="504"/>
    </row>
    <row r="474">
      <c r="F474" s="504"/>
    </row>
    <row r="475">
      <c r="F475" s="504"/>
    </row>
    <row r="476">
      <c r="F476" s="504"/>
    </row>
    <row r="477">
      <c r="F477" s="504"/>
    </row>
    <row r="478">
      <c r="F478" s="504"/>
    </row>
    <row r="479">
      <c r="F479" s="504"/>
    </row>
    <row r="480">
      <c r="F480" s="504"/>
    </row>
    <row r="481">
      <c r="F481" s="504"/>
    </row>
    <row r="482">
      <c r="F482" s="504"/>
    </row>
    <row r="483">
      <c r="F483" s="504"/>
    </row>
    <row r="484">
      <c r="F484" s="504"/>
    </row>
    <row r="485">
      <c r="F485" s="504"/>
    </row>
    <row r="486">
      <c r="F486" s="504"/>
    </row>
    <row r="487">
      <c r="F487" s="504"/>
    </row>
    <row r="488">
      <c r="F488" s="504"/>
    </row>
    <row r="489">
      <c r="F489" s="504"/>
    </row>
    <row r="490">
      <c r="F490" s="504"/>
    </row>
    <row r="491">
      <c r="F491" s="504"/>
    </row>
    <row r="492">
      <c r="F492" s="504"/>
    </row>
    <row r="493">
      <c r="F493" s="504"/>
    </row>
    <row r="494">
      <c r="F494" s="504"/>
    </row>
    <row r="495">
      <c r="F495" s="504"/>
    </row>
    <row r="496">
      <c r="F496" s="504"/>
    </row>
    <row r="497">
      <c r="F497" s="504"/>
    </row>
    <row r="498">
      <c r="F498" s="504"/>
    </row>
    <row r="499">
      <c r="F499" s="504"/>
    </row>
    <row r="500">
      <c r="F500" s="504"/>
    </row>
    <row r="501">
      <c r="F501" s="504"/>
    </row>
    <row r="502">
      <c r="F502" s="504"/>
    </row>
    <row r="503">
      <c r="F503" s="504"/>
    </row>
    <row r="504">
      <c r="F504" s="504"/>
    </row>
    <row r="505">
      <c r="F505" s="504"/>
    </row>
    <row r="506">
      <c r="F506" s="504"/>
    </row>
    <row r="507">
      <c r="F507" s="504"/>
    </row>
    <row r="508">
      <c r="F508" s="504"/>
    </row>
    <row r="509">
      <c r="F509" s="504"/>
    </row>
    <row r="510">
      <c r="F510" s="504"/>
    </row>
    <row r="511">
      <c r="F511" s="504"/>
    </row>
    <row r="512">
      <c r="F512" s="504"/>
    </row>
    <row r="513">
      <c r="F513" s="504"/>
    </row>
    <row r="514">
      <c r="F514" s="504"/>
    </row>
    <row r="515">
      <c r="F515" s="504"/>
    </row>
    <row r="516">
      <c r="F516" s="504"/>
    </row>
    <row r="517">
      <c r="F517" s="504"/>
    </row>
    <row r="518">
      <c r="F518" s="504"/>
    </row>
    <row r="519">
      <c r="F519" s="504"/>
    </row>
    <row r="520">
      <c r="F520" s="504"/>
    </row>
    <row r="521">
      <c r="F521" s="504"/>
    </row>
    <row r="522">
      <c r="F522" s="504"/>
    </row>
    <row r="523">
      <c r="F523" s="504"/>
    </row>
    <row r="524">
      <c r="F524" s="504"/>
    </row>
    <row r="525">
      <c r="F525" s="504"/>
    </row>
    <row r="526">
      <c r="F526" s="504"/>
    </row>
    <row r="527">
      <c r="F527" s="504"/>
    </row>
    <row r="528">
      <c r="F528" s="504"/>
    </row>
    <row r="529">
      <c r="F529" s="504"/>
    </row>
    <row r="530">
      <c r="F530" s="504"/>
    </row>
    <row r="531">
      <c r="F531" s="504"/>
    </row>
    <row r="532">
      <c r="F532" s="504"/>
    </row>
    <row r="533">
      <c r="F533" s="504"/>
    </row>
    <row r="534">
      <c r="F534" s="504"/>
    </row>
    <row r="535">
      <c r="F535" s="504"/>
    </row>
    <row r="536">
      <c r="F536" s="504"/>
    </row>
    <row r="537">
      <c r="F537" s="504"/>
    </row>
    <row r="538">
      <c r="F538" s="504"/>
    </row>
    <row r="539">
      <c r="F539" s="504"/>
    </row>
    <row r="540">
      <c r="F540" s="504"/>
    </row>
    <row r="541">
      <c r="F541" s="504"/>
    </row>
    <row r="542">
      <c r="F542" s="504"/>
    </row>
    <row r="543">
      <c r="F543" s="504"/>
    </row>
    <row r="544">
      <c r="F544" s="504"/>
    </row>
    <row r="545">
      <c r="F545" s="504"/>
    </row>
    <row r="546">
      <c r="F546" s="504"/>
    </row>
    <row r="547">
      <c r="F547" s="504"/>
    </row>
    <row r="548">
      <c r="F548" s="504"/>
    </row>
    <row r="549">
      <c r="F549" s="504"/>
    </row>
    <row r="550">
      <c r="F550" s="504"/>
    </row>
    <row r="551">
      <c r="F551" s="504"/>
    </row>
    <row r="552">
      <c r="F552" s="504"/>
    </row>
    <row r="553">
      <c r="F553" s="504"/>
    </row>
    <row r="554">
      <c r="F554" s="504"/>
    </row>
    <row r="555">
      <c r="F555" s="504"/>
    </row>
    <row r="556">
      <c r="F556" s="504"/>
    </row>
    <row r="557">
      <c r="F557" s="504"/>
    </row>
    <row r="558">
      <c r="F558" s="504"/>
    </row>
    <row r="559">
      <c r="F559" s="504"/>
    </row>
    <row r="560">
      <c r="F560" s="504"/>
    </row>
    <row r="561">
      <c r="F561" s="504"/>
    </row>
    <row r="562">
      <c r="F562" s="504"/>
    </row>
    <row r="563">
      <c r="F563" s="504"/>
    </row>
    <row r="564">
      <c r="F564" s="504"/>
    </row>
    <row r="565">
      <c r="F565" s="504"/>
    </row>
    <row r="566">
      <c r="F566" s="504"/>
    </row>
    <row r="567">
      <c r="F567" s="504"/>
    </row>
    <row r="568">
      <c r="F568" s="504"/>
    </row>
    <row r="569">
      <c r="F569" s="504"/>
    </row>
    <row r="570">
      <c r="F570" s="504"/>
    </row>
    <row r="571">
      <c r="F571" s="504"/>
    </row>
    <row r="572">
      <c r="F572" s="504"/>
    </row>
    <row r="573">
      <c r="F573" s="504"/>
    </row>
    <row r="574">
      <c r="F574" s="504"/>
    </row>
    <row r="575">
      <c r="F575" s="504"/>
    </row>
    <row r="576">
      <c r="F576" s="504"/>
    </row>
    <row r="577">
      <c r="F577" s="504"/>
    </row>
    <row r="578">
      <c r="F578" s="504"/>
    </row>
    <row r="579">
      <c r="F579" s="504"/>
    </row>
    <row r="580">
      <c r="F580" s="504"/>
    </row>
    <row r="581">
      <c r="F581" s="504"/>
    </row>
    <row r="582">
      <c r="F582" s="504"/>
    </row>
    <row r="583">
      <c r="F583" s="504"/>
    </row>
    <row r="584">
      <c r="F584" s="504"/>
    </row>
    <row r="585">
      <c r="F585" s="504"/>
    </row>
    <row r="586">
      <c r="F586" s="504"/>
    </row>
    <row r="587">
      <c r="F587" s="504"/>
    </row>
    <row r="588">
      <c r="F588" s="504"/>
    </row>
    <row r="589">
      <c r="F589" s="504"/>
    </row>
    <row r="590">
      <c r="F590" s="504"/>
    </row>
    <row r="591">
      <c r="F591" s="504"/>
    </row>
    <row r="592">
      <c r="F592" s="504"/>
    </row>
    <row r="593">
      <c r="F593" s="504"/>
    </row>
    <row r="594">
      <c r="F594" s="504"/>
    </row>
    <row r="595">
      <c r="F595" s="504"/>
    </row>
    <row r="596">
      <c r="F596" s="504"/>
    </row>
    <row r="597">
      <c r="F597" s="504"/>
    </row>
    <row r="598">
      <c r="F598" s="504"/>
    </row>
    <row r="599">
      <c r="F599" s="504"/>
    </row>
    <row r="600">
      <c r="F600" s="504"/>
    </row>
    <row r="601">
      <c r="F601" s="504"/>
    </row>
    <row r="602">
      <c r="F602" s="504"/>
    </row>
    <row r="603">
      <c r="F603" s="504"/>
    </row>
    <row r="604">
      <c r="F604" s="504"/>
    </row>
    <row r="605">
      <c r="F605" s="504"/>
    </row>
    <row r="606">
      <c r="F606" s="504"/>
    </row>
    <row r="607">
      <c r="F607" s="504"/>
    </row>
    <row r="608">
      <c r="F608" s="504"/>
    </row>
    <row r="609">
      <c r="F609" s="504"/>
    </row>
    <row r="610">
      <c r="F610" s="504"/>
    </row>
    <row r="611">
      <c r="F611" s="504"/>
    </row>
    <row r="612">
      <c r="F612" s="504"/>
    </row>
    <row r="613">
      <c r="F613" s="504"/>
    </row>
    <row r="614">
      <c r="F614" s="504"/>
    </row>
    <row r="615">
      <c r="F615" s="504"/>
    </row>
    <row r="616">
      <c r="F616" s="504"/>
    </row>
    <row r="617">
      <c r="F617" s="504"/>
    </row>
    <row r="618">
      <c r="F618" s="504"/>
    </row>
    <row r="619">
      <c r="F619" s="504"/>
    </row>
    <row r="620">
      <c r="F620" s="504"/>
    </row>
    <row r="621">
      <c r="F621" s="504"/>
    </row>
    <row r="622">
      <c r="F622" s="504"/>
    </row>
    <row r="623">
      <c r="F623" s="504"/>
    </row>
    <row r="624">
      <c r="F624" s="504"/>
    </row>
    <row r="625">
      <c r="F625" s="504"/>
    </row>
    <row r="626">
      <c r="F626" s="504"/>
    </row>
    <row r="627">
      <c r="F627" s="504"/>
    </row>
    <row r="628">
      <c r="F628" s="504"/>
    </row>
    <row r="629">
      <c r="F629" s="504"/>
    </row>
    <row r="630">
      <c r="F630" s="504"/>
    </row>
    <row r="631">
      <c r="F631" s="504"/>
    </row>
    <row r="632">
      <c r="F632" s="504"/>
    </row>
    <row r="633">
      <c r="F633" s="504"/>
    </row>
    <row r="634">
      <c r="F634" s="504"/>
    </row>
    <row r="635">
      <c r="F635" s="504"/>
    </row>
    <row r="636">
      <c r="F636" s="504"/>
    </row>
    <row r="637">
      <c r="F637" s="504"/>
    </row>
    <row r="638">
      <c r="F638" s="504"/>
    </row>
    <row r="639">
      <c r="F639" s="504"/>
    </row>
    <row r="640">
      <c r="F640" s="504"/>
    </row>
    <row r="641">
      <c r="F641" s="504"/>
    </row>
    <row r="642">
      <c r="F642" s="504"/>
    </row>
    <row r="643">
      <c r="F643" s="504"/>
    </row>
    <row r="644">
      <c r="F644" s="504"/>
    </row>
    <row r="645">
      <c r="F645" s="504"/>
    </row>
    <row r="646">
      <c r="F646" s="504"/>
    </row>
    <row r="647">
      <c r="F647" s="504"/>
    </row>
    <row r="648">
      <c r="F648" s="504"/>
    </row>
    <row r="649">
      <c r="F649" s="504"/>
    </row>
    <row r="650">
      <c r="F650" s="504"/>
    </row>
    <row r="651">
      <c r="F651" s="504"/>
    </row>
    <row r="652">
      <c r="F652" s="504"/>
    </row>
    <row r="653">
      <c r="F653" s="504"/>
    </row>
    <row r="654">
      <c r="F654" s="504"/>
    </row>
    <row r="655">
      <c r="F655" s="504"/>
    </row>
    <row r="656">
      <c r="F656" s="504"/>
    </row>
    <row r="657">
      <c r="F657" s="504"/>
    </row>
    <row r="658">
      <c r="F658" s="504"/>
    </row>
    <row r="659">
      <c r="F659" s="504"/>
    </row>
    <row r="660">
      <c r="F660" s="504"/>
    </row>
    <row r="661">
      <c r="F661" s="504"/>
    </row>
    <row r="662">
      <c r="F662" s="504"/>
    </row>
    <row r="663">
      <c r="F663" s="504"/>
    </row>
    <row r="664">
      <c r="F664" s="504"/>
    </row>
    <row r="665">
      <c r="F665" s="504"/>
    </row>
    <row r="666">
      <c r="F666" s="504"/>
    </row>
    <row r="667">
      <c r="F667" s="504"/>
    </row>
    <row r="668">
      <c r="F668" s="504"/>
    </row>
    <row r="669">
      <c r="F669" s="504"/>
    </row>
    <row r="670">
      <c r="F670" s="504"/>
    </row>
    <row r="671">
      <c r="F671" s="504"/>
    </row>
    <row r="672">
      <c r="F672" s="504"/>
    </row>
    <row r="673">
      <c r="F673" s="504"/>
    </row>
    <row r="674">
      <c r="F674" s="504"/>
    </row>
    <row r="675">
      <c r="F675" s="504"/>
    </row>
    <row r="676">
      <c r="F676" s="504"/>
    </row>
    <row r="677">
      <c r="F677" s="504"/>
    </row>
    <row r="678">
      <c r="F678" s="504"/>
    </row>
    <row r="679">
      <c r="F679" s="504"/>
    </row>
    <row r="680">
      <c r="F680" s="504"/>
    </row>
    <row r="681">
      <c r="F681" s="504"/>
    </row>
    <row r="682">
      <c r="F682" s="504"/>
    </row>
    <row r="683">
      <c r="F683" s="504"/>
    </row>
    <row r="684">
      <c r="F684" s="504"/>
    </row>
    <row r="685">
      <c r="F685" s="504"/>
    </row>
    <row r="686">
      <c r="F686" s="504"/>
    </row>
    <row r="687">
      <c r="F687" s="504"/>
    </row>
    <row r="688">
      <c r="F688" s="504"/>
    </row>
    <row r="689">
      <c r="F689" s="504"/>
    </row>
    <row r="690">
      <c r="F690" s="504"/>
    </row>
    <row r="691">
      <c r="F691" s="504"/>
    </row>
    <row r="692">
      <c r="F692" s="504"/>
    </row>
    <row r="693">
      <c r="F693" s="504"/>
    </row>
    <row r="694">
      <c r="F694" s="504"/>
    </row>
    <row r="695">
      <c r="F695" s="504"/>
    </row>
    <row r="696">
      <c r="F696" s="504"/>
    </row>
    <row r="697">
      <c r="F697" s="504"/>
    </row>
    <row r="698">
      <c r="F698" s="504"/>
    </row>
    <row r="699">
      <c r="F699" s="504"/>
    </row>
    <row r="700">
      <c r="F700" s="504"/>
    </row>
    <row r="701">
      <c r="F701" s="504"/>
    </row>
    <row r="702">
      <c r="F702" s="504"/>
    </row>
    <row r="703">
      <c r="F703" s="504"/>
    </row>
    <row r="704">
      <c r="F704" s="504"/>
    </row>
    <row r="705">
      <c r="F705" s="504"/>
    </row>
    <row r="706">
      <c r="F706" s="504"/>
    </row>
    <row r="707">
      <c r="F707" s="504"/>
    </row>
    <row r="708">
      <c r="F708" s="504"/>
    </row>
    <row r="709">
      <c r="F709" s="504"/>
    </row>
    <row r="710">
      <c r="F710" s="504"/>
    </row>
    <row r="711">
      <c r="F711" s="504"/>
    </row>
    <row r="712">
      <c r="F712" s="504"/>
    </row>
    <row r="713">
      <c r="F713" s="504"/>
    </row>
    <row r="714">
      <c r="F714" s="504"/>
    </row>
    <row r="715">
      <c r="F715" s="504"/>
    </row>
    <row r="716">
      <c r="F716" s="504"/>
    </row>
    <row r="717">
      <c r="F717" s="504"/>
    </row>
    <row r="718">
      <c r="F718" s="504"/>
    </row>
    <row r="719">
      <c r="F719" s="504"/>
    </row>
    <row r="720">
      <c r="F720" s="504"/>
    </row>
    <row r="721">
      <c r="F721" s="504"/>
    </row>
    <row r="722">
      <c r="F722" s="504"/>
    </row>
    <row r="723">
      <c r="F723" s="504"/>
    </row>
    <row r="724">
      <c r="F724" s="504"/>
    </row>
    <row r="725">
      <c r="F725" s="504"/>
    </row>
    <row r="726">
      <c r="F726" s="504"/>
    </row>
    <row r="727">
      <c r="F727" s="504"/>
    </row>
    <row r="728">
      <c r="F728" s="504"/>
    </row>
    <row r="729">
      <c r="F729" s="504"/>
    </row>
    <row r="730">
      <c r="F730" s="504"/>
    </row>
    <row r="731">
      <c r="F731" s="504"/>
    </row>
    <row r="732">
      <c r="F732" s="504"/>
    </row>
    <row r="733">
      <c r="F733" s="504"/>
    </row>
    <row r="734">
      <c r="F734" s="504"/>
    </row>
    <row r="735">
      <c r="F735" s="504"/>
    </row>
    <row r="736">
      <c r="F736" s="504"/>
    </row>
    <row r="737">
      <c r="F737" s="504"/>
    </row>
    <row r="738">
      <c r="F738" s="504"/>
    </row>
    <row r="739">
      <c r="F739" s="504"/>
    </row>
    <row r="740">
      <c r="F740" s="504"/>
    </row>
    <row r="741">
      <c r="F741" s="504"/>
    </row>
    <row r="742">
      <c r="F742" s="504"/>
    </row>
    <row r="743">
      <c r="F743" s="504"/>
    </row>
    <row r="744">
      <c r="F744" s="504"/>
    </row>
    <row r="745">
      <c r="F745" s="504"/>
    </row>
    <row r="746">
      <c r="F746" s="504"/>
    </row>
    <row r="747">
      <c r="F747" s="504"/>
    </row>
    <row r="748">
      <c r="F748" s="504"/>
    </row>
    <row r="749">
      <c r="F749" s="504"/>
    </row>
    <row r="750">
      <c r="F750" s="504"/>
    </row>
    <row r="751">
      <c r="F751" s="504"/>
    </row>
    <row r="752">
      <c r="F752" s="504"/>
    </row>
    <row r="753">
      <c r="F753" s="504"/>
    </row>
    <row r="754">
      <c r="F754" s="504"/>
    </row>
    <row r="755">
      <c r="F755" s="504"/>
    </row>
    <row r="756">
      <c r="F756" s="504"/>
    </row>
    <row r="757">
      <c r="F757" s="504"/>
    </row>
    <row r="758">
      <c r="F758" s="504"/>
    </row>
    <row r="759">
      <c r="F759" s="504"/>
    </row>
    <row r="760">
      <c r="F760" s="504"/>
    </row>
    <row r="761">
      <c r="F761" s="504"/>
    </row>
    <row r="762">
      <c r="F762" s="504"/>
    </row>
    <row r="763">
      <c r="F763" s="504"/>
    </row>
    <row r="764">
      <c r="F764" s="504"/>
    </row>
    <row r="765">
      <c r="F765" s="504"/>
    </row>
    <row r="766">
      <c r="F766" s="504"/>
    </row>
    <row r="767">
      <c r="F767" s="504"/>
    </row>
    <row r="768">
      <c r="F768" s="504"/>
    </row>
    <row r="769">
      <c r="F769" s="504"/>
    </row>
    <row r="770">
      <c r="F770" s="504"/>
    </row>
    <row r="771">
      <c r="F771" s="504"/>
    </row>
    <row r="772">
      <c r="F772" s="504"/>
    </row>
    <row r="773">
      <c r="F773" s="504"/>
    </row>
    <row r="774">
      <c r="F774" s="504"/>
    </row>
    <row r="775">
      <c r="F775" s="504"/>
    </row>
    <row r="776">
      <c r="F776" s="504"/>
    </row>
    <row r="777">
      <c r="F777" s="504"/>
    </row>
    <row r="778">
      <c r="F778" s="504"/>
    </row>
    <row r="779">
      <c r="F779" s="504"/>
    </row>
    <row r="780">
      <c r="F780" s="504"/>
    </row>
    <row r="781">
      <c r="F781" s="504"/>
    </row>
    <row r="782">
      <c r="F782" s="504"/>
    </row>
    <row r="783">
      <c r="F783" s="504"/>
    </row>
    <row r="784">
      <c r="F784" s="504"/>
    </row>
    <row r="785">
      <c r="F785" s="504"/>
    </row>
    <row r="786">
      <c r="F786" s="504"/>
    </row>
    <row r="787">
      <c r="F787" s="504"/>
    </row>
    <row r="788">
      <c r="F788" s="504"/>
    </row>
    <row r="789">
      <c r="F789" s="504"/>
    </row>
    <row r="790">
      <c r="F790" s="504"/>
    </row>
    <row r="791">
      <c r="F791" s="504"/>
    </row>
    <row r="792">
      <c r="F792" s="504"/>
    </row>
    <row r="793">
      <c r="F793" s="504"/>
    </row>
    <row r="794">
      <c r="F794" s="504"/>
    </row>
    <row r="795">
      <c r="F795" s="504"/>
    </row>
    <row r="796">
      <c r="F796" s="504"/>
    </row>
    <row r="797">
      <c r="F797" s="504"/>
    </row>
    <row r="798">
      <c r="F798" s="504"/>
    </row>
    <row r="799">
      <c r="F799" s="504"/>
    </row>
    <row r="800">
      <c r="F800" s="504"/>
    </row>
    <row r="801">
      <c r="F801" s="504"/>
    </row>
    <row r="802">
      <c r="F802" s="504"/>
    </row>
    <row r="803">
      <c r="F803" s="504"/>
    </row>
    <row r="804">
      <c r="F804" s="504"/>
    </row>
    <row r="805">
      <c r="F805" s="504"/>
    </row>
    <row r="806">
      <c r="F806" s="504"/>
    </row>
    <row r="807">
      <c r="F807" s="504"/>
    </row>
    <row r="808">
      <c r="F808" s="504"/>
    </row>
    <row r="809">
      <c r="F809" s="504"/>
    </row>
    <row r="810">
      <c r="F810" s="504"/>
    </row>
    <row r="811">
      <c r="F811" s="504"/>
    </row>
    <row r="812">
      <c r="F812" s="504"/>
    </row>
    <row r="813">
      <c r="F813" s="504"/>
    </row>
    <row r="814">
      <c r="F814" s="504"/>
    </row>
    <row r="815">
      <c r="F815" s="504"/>
    </row>
    <row r="816">
      <c r="F816" s="504"/>
    </row>
    <row r="817">
      <c r="F817" s="504"/>
    </row>
    <row r="818">
      <c r="F818" s="504"/>
    </row>
    <row r="819">
      <c r="F819" s="504"/>
    </row>
    <row r="820">
      <c r="F820" s="504"/>
    </row>
    <row r="821">
      <c r="F821" s="504"/>
    </row>
    <row r="822">
      <c r="F822" s="504"/>
    </row>
    <row r="823">
      <c r="F823" s="504"/>
    </row>
    <row r="824">
      <c r="F824" s="504"/>
    </row>
    <row r="825">
      <c r="F825" s="504"/>
    </row>
    <row r="826">
      <c r="F826" s="504"/>
    </row>
    <row r="827">
      <c r="F827" s="504"/>
    </row>
    <row r="828">
      <c r="F828" s="504"/>
    </row>
    <row r="829">
      <c r="F829" s="504"/>
    </row>
    <row r="830">
      <c r="F830" s="504"/>
    </row>
    <row r="831">
      <c r="F831" s="504"/>
    </row>
    <row r="832">
      <c r="F832" s="504"/>
    </row>
    <row r="833">
      <c r="F833" s="504"/>
    </row>
    <row r="834">
      <c r="F834" s="504"/>
    </row>
    <row r="835">
      <c r="F835" s="504"/>
    </row>
    <row r="836">
      <c r="F836" s="504"/>
    </row>
    <row r="837">
      <c r="F837" s="504"/>
    </row>
    <row r="838">
      <c r="F838" s="504"/>
    </row>
    <row r="839">
      <c r="F839" s="504"/>
    </row>
    <row r="840">
      <c r="F840" s="504"/>
    </row>
    <row r="841">
      <c r="F841" s="504"/>
    </row>
    <row r="842">
      <c r="F842" s="504"/>
    </row>
    <row r="843">
      <c r="F843" s="504"/>
    </row>
    <row r="844">
      <c r="F844" s="504"/>
    </row>
    <row r="845">
      <c r="F845" s="504"/>
    </row>
    <row r="846">
      <c r="F846" s="504"/>
    </row>
    <row r="847">
      <c r="F847" s="504"/>
    </row>
    <row r="848">
      <c r="F848" s="504"/>
    </row>
    <row r="849">
      <c r="F849" s="504"/>
    </row>
    <row r="850">
      <c r="F850" s="504"/>
    </row>
    <row r="851">
      <c r="F851" s="504"/>
    </row>
    <row r="852">
      <c r="F852" s="504"/>
    </row>
    <row r="853">
      <c r="F853" s="504"/>
    </row>
    <row r="854">
      <c r="F854" s="504"/>
    </row>
    <row r="855">
      <c r="F855" s="504"/>
    </row>
    <row r="856">
      <c r="F856" s="504"/>
    </row>
    <row r="857">
      <c r="F857" s="504"/>
    </row>
    <row r="858">
      <c r="F858" s="504"/>
    </row>
    <row r="859">
      <c r="F859" s="504"/>
    </row>
    <row r="860">
      <c r="F860" s="504"/>
    </row>
    <row r="861">
      <c r="F861" s="504"/>
    </row>
    <row r="862">
      <c r="F862" s="504"/>
    </row>
    <row r="863">
      <c r="F863" s="504"/>
    </row>
    <row r="864">
      <c r="F864" s="504"/>
    </row>
    <row r="865">
      <c r="F865" s="504"/>
    </row>
    <row r="866">
      <c r="F866" s="504"/>
    </row>
    <row r="867">
      <c r="F867" s="504"/>
    </row>
    <row r="868">
      <c r="F868" s="504"/>
    </row>
    <row r="869">
      <c r="F869" s="504"/>
    </row>
    <row r="870">
      <c r="F870" s="504"/>
    </row>
    <row r="871">
      <c r="F871" s="504"/>
    </row>
    <row r="872">
      <c r="F872" s="504"/>
    </row>
    <row r="873">
      <c r="F873" s="504"/>
    </row>
    <row r="874">
      <c r="F874" s="504"/>
    </row>
    <row r="875">
      <c r="F875" s="504"/>
    </row>
    <row r="876">
      <c r="F876" s="504"/>
    </row>
    <row r="877">
      <c r="F877" s="504"/>
    </row>
    <row r="878">
      <c r="F878" s="504"/>
    </row>
    <row r="879">
      <c r="F879" s="504"/>
    </row>
    <row r="880">
      <c r="F880" s="504"/>
    </row>
    <row r="881">
      <c r="F881" s="504"/>
    </row>
    <row r="882">
      <c r="F882" s="504"/>
    </row>
    <row r="883">
      <c r="F883" s="504"/>
    </row>
    <row r="884">
      <c r="F884" s="504"/>
    </row>
    <row r="885">
      <c r="F885" s="504"/>
    </row>
    <row r="886">
      <c r="F886" s="504"/>
    </row>
    <row r="887">
      <c r="F887" s="504"/>
    </row>
    <row r="888">
      <c r="F888" s="504"/>
    </row>
    <row r="889">
      <c r="F889" s="504"/>
    </row>
    <row r="890">
      <c r="F890" s="504"/>
    </row>
    <row r="891">
      <c r="F891" s="504"/>
    </row>
    <row r="892">
      <c r="F892" s="504"/>
    </row>
    <row r="893">
      <c r="F893" s="504"/>
    </row>
    <row r="894">
      <c r="F894" s="504"/>
    </row>
    <row r="895">
      <c r="F895" s="504"/>
    </row>
    <row r="896">
      <c r="F896" s="504"/>
    </row>
    <row r="897">
      <c r="F897" s="504"/>
    </row>
    <row r="898">
      <c r="F898" s="504"/>
    </row>
    <row r="899">
      <c r="F899" s="504"/>
    </row>
    <row r="900">
      <c r="F900" s="504"/>
    </row>
    <row r="901">
      <c r="F901" s="504"/>
    </row>
    <row r="902">
      <c r="F902" s="504"/>
    </row>
    <row r="903">
      <c r="F903" s="504"/>
    </row>
    <row r="904">
      <c r="F904" s="504"/>
    </row>
    <row r="905">
      <c r="F905" s="504"/>
    </row>
    <row r="906">
      <c r="F906" s="504"/>
    </row>
    <row r="907">
      <c r="F907" s="504"/>
    </row>
    <row r="908">
      <c r="F908" s="504"/>
    </row>
    <row r="909">
      <c r="F909" s="504"/>
    </row>
    <row r="910">
      <c r="F910" s="504"/>
    </row>
    <row r="911">
      <c r="F911" s="504"/>
    </row>
    <row r="912">
      <c r="F912" s="504"/>
    </row>
    <row r="913">
      <c r="F913" s="504"/>
    </row>
    <row r="914">
      <c r="F914" s="504"/>
    </row>
    <row r="915">
      <c r="F915" s="504"/>
    </row>
    <row r="916">
      <c r="F916" s="504"/>
    </row>
    <row r="917">
      <c r="F917" s="504"/>
    </row>
    <row r="918">
      <c r="F918" s="504"/>
    </row>
    <row r="919">
      <c r="F919" s="504"/>
    </row>
    <row r="920">
      <c r="F920" s="504"/>
    </row>
    <row r="921">
      <c r="F921" s="504"/>
    </row>
    <row r="922">
      <c r="F922" s="504"/>
    </row>
    <row r="923">
      <c r="F923" s="504"/>
    </row>
    <row r="924">
      <c r="F924" s="504"/>
    </row>
    <row r="925">
      <c r="F925" s="504"/>
    </row>
    <row r="926">
      <c r="F926" s="504"/>
    </row>
    <row r="927">
      <c r="F927" s="504"/>
    </row>
    <row r="928">
      <c r="F928" s="504"/>
    </row>
    <row r="929">
      <c r="F929" s="504"/>
    </row>
    <row r="930">
      <c r="F930" s="504"/>
    </row>
    <row r="931">
      <c r="F931" s="504"/>
    </row>
    <row r="932">
      <c r="F932" s="504"/>
    </row>
    <row r="933">
      <c r="F933" s="504"/>
    </row>
    <row r="934">
      <c r="F934" s="504"/>
    </row>
    <row r="935">
      <c r="F935" s="504"/>
    </row>
    <row r="936">
      <c r="F936" s="504"/>
    </row>
    <row r="937">
      <c r="F937" s="504"/>
    </row>
    <row r="938">
      <c r="F938" s="504"/>
    </row>
    <row r="939">
      <c r="F939" s="504"/>
    </row>
    <row r="940">
      <c r="F940" s="504"/>
    </row>
    <row r="941">
      <c r="F941" s="504"/>
    </row>
    <row r="942">
      <c r="F942" s="504"/>
    </row>
    <row r="943">
      <c r="F943" s="504"/>
    </row>
    <row r="944">
      <c r="F944" s="504"/>
    </row>
    <row r="945">
      <c r="F945" s="504"/>
    </row>
    <row r="946">
      <c r="F946" s="504"/>
    </row>
    <row r="947">
      <c r="F947" s="504"/>
    </row>
    <row r="948">
      <c r="F948" s="504"/>
    </row>
    <row r="949">
      <c r="F949" s="504"/>
    </row>
    <row r="950">
      <c r="F950" s="504"/>
    </row>
    <row r="951">
      <c r="F951" s="504"/>
    </row>
    <row r="952">
      <c r="F952" s="504"/>
    </row>
    <row r="953">
      <c r="F953" s="504"/>
    </row>
    <row r="954">
      <c r="F954" s="504"/>
    </row>
    <row r="955">
      <c r="F955" s="504"/>
    </row>
    <row r="956">
      <c r="F956" s="504"/>
    </row>
    <row r="957">
      <c r="F957" s="504"/>
    </row>
    <row r="958">
      <c r="F958" s="504"/>
    </row>
    <row r="959">
      <c r="F959" s="504"/>
    </row>
    <row r="960">
      <c r="F960" s="504"/>
    </row>
    <row r="961">
      <c r="F961" s="504"/>
    </row>
    <row r="962">
      <c r="F962" s="504"/>
    </row>
    <row r="963">
      <c r="F963" s="504"/>
    </row>
    <row r="964">
      <c r="F964" s="504"/>
    </row>
    <row r="965">
      <c r="F965" s="504"/>
    </row>
    <row r="966">
      <c r="F966" s="504"/>
    </row>
    <row r="967">
      <c r="F967" s="504"/>
    </row>
    <row r="968">
      <c r="F968" s="504"/>
    </row>
    <row r="969">
      <c r="F969" s="504"/>
    </row>
    <row r="970">
      <c r="F970" s="504"/>
    </row>
    <row r="971">
      <c r="F971" s="504"/>
    </row>
    <row r="972">
      <c r="F972" s="504"/>
    </row>
    <row r="973">
      <c r="F973" s="504"/>
    </row>
    <row r="974">
      <c r="F974" s="504"/>
    </row>
    <row r="975">
      <c r="F975" s="504"/>
    </row>
    <row r="976">
      <c r="F976" s="504"/>
    </row>
    <row r="977">
      <c r="F977" s="504"/>
    </row>
    <row r="978">
      <c r="F978" s="504"/>
    </row>
    <row r="979">
      <c r="F979" s="504"/>
    </row>
    <row r="980">
      <c r="F980" s="504"/>
    </row>
    <row r="981">
      <c r="F981" s="504"/>
    </row>
    <row r="982">
      <c r="F982" s="504"/>
    </row>
    <row r="983">
      <c r="F983" s="504"/>
    </row>
    <row r="984">
      <c r="F984" s="504"/>
    </row>
    <row r="985">
      <c r="F985" s="504"/>
    </row>
    <row r="986">
      <c r="F986" s="504"/>
    </row>
    <row r="987">
      <c r="F987" s="504"/>
    </row>
    <row r="988">
      <c r="F988" s="504"/>
    </row>
    <row r="989">
      <c r="F989" s="504"/>
    </row>
    <row r="990">
      <c r="F990" s="504"/>
    </row>
    <row r="991">
      <c r="F991" s="504"/>
    </row>
    <row r="992">
      <c r="F992" s="504"/>
    </row>
    <row r="993">
      <c r="F993" s="504"/>
    </row>
    <row r="994">
      <c r="F994" s="504"/>
    </row>
    <row r="995">
      <c r="F995" s="504"/>
    </row>
    <row r="996">
      <c r="F996" s="504"/>
    </row>
    <row r="997">
      <c r="F997" s="504"/>
    </row>
    <row r="998">
      <c r="F998" s="504"/>
    </row>
    <row r="999">
      <c r="F999" s="504"/>
    </row>
    <row r="1000">
      <c r="F1000" s="504"/>
    </row>
  </sheetData>
  <dataValidations>
    <dataValidation type="custom" allowBlank="1" showDropDown="1" sqref="B2:C123 F2:F123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25"/>
    <col customWidth="1" min="8" max="8" width="10.25"/>
  </cols>
  <sheetData>
    <row r="1">
      <c r="A1" s="505"/>
      <c r="B1" s="506" t="s">
        <v>218</v>
      </c>
      <c r="C1" s="211"/>
      <c r="D1" s="506" t="s">
        <v>278</v>
      </c>
      <c r="E1" s="211"/>
      <c r="F1" s="506" t="s">
        <v>220</v>
      </c>
      <c r="G1" s="211"/>
      <c r="H1" s="507"/>
    </row>
    <row r="2">
      <c r="A2" s="505"/>
      <c r="B2" s="508" t="s">
        <v>703</v>
      </c>
      <c r="C2" s="509" t="s">
        <v>704</v>
      </c>
      <c r="D2" s="508" t="s">
        <v>703</v>
      </c>
      <c r="E2" s="509" t="s">
        <v>704</v>
      </c>
      <c r="F2" s="508" t="s">
        <v>703</v>
      </c>
      <c r="G2" s="509" t="s">
        <v>704</v>
      </c>
      <c r="H2" s="510" t="s">
        <v>705</v>
      </c>
    </row>
    <row r="3">
      <c r="A3" s="511" t="s">
        <v>49</v>
      </c>
      <c r="B3" s="512">
        <v>-0.17477005</v>
      </c>
      <c r="C3" s="513">
        <v>0.0</v>
      </c>
      <c r="D3" s="512">
        <v>-0.276323875</v>
      </c>
      <c r="E3" s="513">
        <v>0.0</v>
      </c>
      <c r="F3" s="512">
        <v>-0.051345994</v>
      </c>
      <c r="G3" s="513">
        <v>8.8E-12</v>
      </c>
      <c r="H3" s="512">
        <f t="shared" ref="H3:H16" si="1">((ABS(B3)+ABS(D3)+ABS(F3))/3)</f>
        <v>0.167479973</v>
      </c>
    </row>
    <row r="4">
      <c r="A4" s="511" t="s">
        <v>270</v>
      </c>
      <c r="B4" s="512">
        <v>-0.125023186</v>
      </c>
      <c r="C4" s="513">
        <v>0.0</v>
      </c>
      <c r="D4" s="512">
        <v>-0.118729939</v>
      </c>
      <c r="E4" s="513">
        <v>0.0</v>
      </c>
      <c r="F4" s="512">
        <v>-0.077779221</v>
      </c>
      <c r="G4" s="513">
        <v>0.0</v>
      </c>
      <c r="H4" s="512">
        <f t="shared" si="1"/>
        <v>0.1071774487</v>
      </c>
    </row>
    <row r="5">
      <c r="A5" s="514" t="s">
        <v>7</v>
      </c>
      <c r="B5" s="512">
        <v>-0.110633253</v>
      </c>
      <c r="C5" s="513">
        <v>0.0</v>
      </c>
      <c r="D5" s="512">
        <v>-0.104285502</v>
      </c>
      <c r="E5" s="513">
        <v>0.0</v>
      </c>
      <c r="F5" s="512">
        <v>-0.092736154</v>
      </c>
      <c r="G5" s="513">
        <v>0.0</v>
      </c>
      <c r="H5" s="512">
        <f t="shared" si="1"/>
        <v>0.1025516363</v>
      </c>
    </row>
    <row r="6">
      <c r="A6" s="514" t="s">
        <v>111</v>
      </c>
      <c r="B6" s="512">
        <v>-0.098410369</v>
      </c>
      <c r="C6" s="513">
        <v>0.0</v>
      </c>
      <c r="D6" s="512">
        <v>-0.114466036</v>
      </c>
      <c r="E6" s="513">
        <v>0.0</v>
      </c>
      <c r="F6" s="512">
        <v>-0.056115997</v>
      </c>
      <c r="G6" s="513">
        <v>7.93E-14</v>
      </c>
      <c r="H6" s="512">
        <f t="shared" si="1"/>
        <v>0.089664134</v>
      </c>
    </row>
    <row r="7">
      <c r="A7" s="514" t="s">
        <v>44</v>
      </c>
      <c r="B7" s="512">
        <v>-0.068670975</v>
      </c>
      <c r="C7" s="513">
        <v>0.0</v>
      </c>
      <c r="D7" s="512">
        <v>-0.114052896</v>
      </c>
      <c r="E7" s="513">
        <v>0.0</v>
      </c>
      <c r="F7" s="512">
        <v>0.040111893</v>
      </c>
      <c r="G7" s="513">
        <v>1.47E-7</v>
      </c>
      <c r="H7" s="512">
        <f t="shared" si="1"/>
        <v>0.074278588</v>
      </c>
    </row>
    <row r="8">
      <c r="A8" s="515" t="s">
        <v>269</v>
      </c>
      <c r="B8" s="516">
        <v>-0.090533945</v>
      </c>
      <c r="C8" s="517">
        <v>0.0</v>
      </c>
      <c r="D8" s="516">
        <v>-0.066808836</v>
      </c>
      <c r="E8" s="517">
        <v>0.0</v>
      </c>
      <c r="F8" s="516">
        <v>-0.051617129</v>
      </c>
      <c r="G8" s="517">
        <v>0.0</v>
      </c>
      <c r="H8" s="512">
        <f t="shared" si="1"/>
        <v>0.06965330333</v>
      </c>
    </row>
    <row r="9">
      <c r="A9" s="514" t="s">
        <v>268</v>
      </c>
      <c r="B9" s="512">
        <v>-0.077808377</v>
      </c>
      <c r="C9" s="513">
        <v>0.0</v>
      </c>
      <c r="D9" s="512">
        <v>-0.093667513</v>
      </c>
      <c r="E9" s="513">
        <v>0.0</v>
      </c>
      <c r="F9" s="512">
        <v>-0.020074523</v>
      </c>
      <c r="G9" s="513">
        <v>0.031901127</v>
      </c>
      <c r="H9" s="512">
        <f t="shared" si="1"/>
        <v>0.06385013767</v>
      </c>
    </row>
    <row r="10">
      <c r="A10" s="514" t="s">
        <v>115</v>
      </c>
      <c r="B10" s="512">
        <v>-0.054888218</v>
      </c>
      <c r="C10" s="513">
        <v>2.66E-13</v>
      </c>
      <c r="D10" s="512">
        <v>-0.093197546</v>
      </c>
      <c r="E10" s="513">
        <v>0.0</v>
      </c>
      <c r="F10" s="512">
        <v>-0.043015071</v>
      </c>
      <c r="G10" s="513">
        <v>1.41E-8</v>
      </c>
      <c r="H10" s="512">
        <f t="shared" si="1"/>
        <v>0.06370027833</v>
      </c>
    </row>
    <row r="11">
      <c r="A11" s="514" t="s">
        <v>84</v>
      </c>
      <c r="B11" s="512">
        <v>0.05781349</v>
      </c>
      <c r="C11" s="513">
        <v>1.07E-14</v>
      </c>
      <c r="D11" s="512">
        <v>0.077807693</v>
      </c>
      <c r="E11" s="513">
        <v>1.04E-13</v>
      </c>
      <c r="F11" s="512">
        <v>0.044522238</v>
      </c>
      <c r="G11" s="513">
        <v>4.16E-9</v>
      </c>
      <c r="H11" s="512">
        <f t="shared" si="1"/>
        <v>0.060047807</v>
      </c>
    </row>
    <row r="12">
      <c r="A12" s="514" t="s">
        <v>90</v>
      </c>
      <c r="B12" s="512">
        <v>0.042773901</v>
      </c>
      <c r="C12" s="513">
        <v>2.22E-8</v>
      </c>
      <c r="D12" s="512">
        <v>0.051564167</v>
      </c>
      <c r="E12" s="513">
        <v>2.62E-6</v>
      </c>
      <c r="F12" s="512">
        <v>0.053761927</v>
      </c>
      <c r="G12" s="513">
        <v>8.32E-13</v>
      </c>
      <c r="H12" s="512">
        <f t="shared" si="1"/>
        <v>0.049366665</v>
      </c>
    </row>
    <row r="13">
      <c r="A13" s="514" t="s">
        <v>265</v>
      </c>
      <c r="B13" s="512">
        <v>0.042140422</v>
      </c>
      <c r="C13" s="513">
        <v>3.46E-8</v>
      </c>
      <c r="D13" s="512">
        <v>0.02791038</v>
      </c>
      <c r="E13" s="513">
        <v>0.031574785</v>
      </c>
      <c r="F13" s="512">
        <v>0.059307651</v>
      </c>
      <c r="G13" s="513">
        <v>0.0</v>
      </c>
      <c r="H13" s="512">
        <f t="shared" si="1"/>
        <v>0.04311948433</v>
      </c>
    </row>
    <row r="14">
      <c r="A14" s="514" t="s">
        <v>262</v>
      </c>
      <c r="B14" s="512">
        <v>-0.025798004</v>
      </c>
      <c r="C14" s="513">
        <v>0.001921481</v>
      </c>
      <c r="D14" s="512">
        <v>-0.085927545</v>
      </c>
      <c r="E14" s="513">
        <v>0.0</v>
      </c>
      <c r="F14" s="512">
        <v>-0.00659018</v>
      </c>
      <c r="G14" s="512">
        <v>1.0</v>
      </c>
      <c r="H14" s="512">
        <f t="shared" si="1"/>
        <v>0.03943857633</v>
      </c>
    </row>
    <row r="15">
      <c r="A15" s="514" t="s">
        <v>103</v>
      </c>
      <c r="B15" s="512">
        <v>0.028225547</v>
      </c>
      <c r="C15" s="513">
        <v>5.70759E-4</v>
      </c>
      <c r="D15" s="512">
        <v>0.044018337</v>
      </c>
      <c r="E15" s="513">
        <v>1.11846E-4</v>
      </c>
      <c r="F15" s="512">
        <v>0.004473103</v>
      </c>
      <c r="G15" s="512">
        <v>1.0</v>
      </c>
      <c r="H15" s="512">
        <f t="shared" si="1"/>
        <v>0.025572329</v>
      </c>
    </row>
    <row r="16">
      <c r="A16" s="514" t="s">
        <v>40</v>
      </c>
      <c r="B16" s="512">
        <v>-0.037697136</v>
      </c>
      <c r="C16" s="513">
        <v>3.75E-5</v>
      </c>
      <c r="D16" s="512">
        <v>-0.022772659</v>
      </c>
      <c r="E16" s="512">
        <v>0.304727655</v>
      </c>
      <c r="F16" s="512">
        <v>-0.011046875</v>
      </c>
      <c r="G16" s="512">
        <v>0.910527681</v>
      </c>
      <c r="H16" s="512">
        <f t="shared" si="1"/>
        <v>0.02383889</v>
      </c>
    </row>
    <row r="17">
      <c r="A17" s="514" t="s">
        <v>79</v>
      </c>
      <c r="B17" s="516">
        <v>0.010918667</v>
      </c>
      <c r="C17" s="516">
        <v>0.492240284</v>
      </c>
      <c r="D17" s="516">
        <v>0.036523509</v>
      </c>
      <c r="E17" s="517">
        <v>0.002252306</v>
      </c>
      <c r="F17" s="516">
        <v>0.023011052</v>
      </c>
      <c r="G17" s="517">
        <v>0.010271288</v>
      </c>
      <c r="H17" s="516">
        <v>0.02348440933</v>
      </c>
    </row>
    <row r="18">
      <c r="A18" s="514" t="s">
        <v>54</v>
      </c>
      <c r="B18" s="512">
        <v>0.015089604</v>
      </c>
      <c r="C18" s="512">
        <v>0.161504895</v>
      </c>
      <c r="D18" s="512">
        <v>-0.015708786</v>
      </c>
      <c r="E18" s="512">
        <v>0.457770298</v>
      </c>
      <c r="F18" s="512">
        <v>-0.024878657</v>
      </c>
      <c r="G18" s="513">
        <v>0.003494269</v>
      </c>
      <c r="H18" s="512">
        <f t="shared" ref="H18:H22" si="2">((ABS(B18)+ABS(D18)+ABS(F18))/3)</f>
        <v>0.01855901567</v>
      </c>
    </row>
    <row r="19">
      <c r="A19" s="514" t="s">
        <v>263</v>
      </c>
      <c r="B19" s="512">
        <v>0.023817803</v>
      </c>
      <c r="C19" s="513">
        <v>0.004695628</v>
      </c>
      <c r="D19" s="512">
        <v>-0.016235531</v>
      </c>
      <c r="E19" s="512">
        <v>0.451066879</v>
      </c>
      <c r="F19" s="512">
        <v>0.011710965</v>
      </c>
      <c r="G19" s="512">
        <v>0.532803706</v>
      </c>
      <c r="H19" s="512">
        <f t="shared" si="2"/>
        <v>0.01725476633</v>
      </c>
    </row>
    <row r="20">
      <c r="A20" s="514" t="s">
        <v>35</v>
      </c>
      <c r="B20" s="512">
        <v>0.002467433</v>
      </c>
      <c r="C20" s="512">
        <v>1.0</v>
      </c>
      <c r="D20" s="512">
        <v>0.036099859</v>
      </c>
      <c r="E20" s="513">
        <v>0.004247227</v>
      </c>
      <c r="F20" s="512">
        <v>0.012113487</v>
      </c>
      <c r="G20" s="512">
        <v>0.532803706</v>
      </c>
      <c r="H20" s="512">
        <f t="shared" si="2"/>
        <v>0.016893593</v>
      </c>
    </row>
    <row r="21">
      <c r="A21" s="514" t="s">
        <v>97</v>
      </c>
      <c r="B21" s="512">
        <v>-0.01218794</v>
      </c>
      <c r="C21" s="512">
        <v>0.351278955</v>
      </c>
      <c r="D21" s="512">
        <v>-0.026936643</v>
      </c>
      <c r="E21" s="513">
        <v>0.042094328</v>
      </c>
      <c r="F21" s="512">
        <v>-0.009983038</v>
      </c>
      <c r="G21" s="512">
        <v>0.806211967</v>
      </c>
      <c r="H21" s="512">
        <f t="shared" si="2"/>
        <v>0.016369207</v>
      </c>
    </row>
    <row r="22">
      <c r="A22" s="518" t="s">
        <v>18</v>
      </c>
      <c r="B22" s="512">
        <v>-0.012348116</v>
      </c>
      <c r="C22" s="512">
        <v>0.34914553</v>
      </c>
      <c r="D22" s="512">
        <v>-0.016932763</v>
      </c>
      <c r="E22" s="512">
        <v>0.413539331</v>
      </c>
      <c r="F22" s="512">
        <v>-0.008040663</v>
      </c>
      <c r="G22" s="512">
        <v>1.0</v>
      </c>
      <c r="H22" s="512">
        <f t="shared" si="2"/>
        <v>0.012440514</v>
      </c>
    </row>
    <row r="23">
      <c r="A23" s="511" t="s">
        <v>67</v>
      </c>
      <c r="B23" s="516">
        <v>0.013596779</v>
      </c>
      <c r="C23" s="516">
        <v>0.270669086</v>
      </c>
      <c r="D23" s="516">
        <v>-0.003448026</v>
      </c>
      <c r="E23" s="516">
        <v>1.0</v>
      </c>
      <c r="F23" s="516">
        <v>-0.019334908</v>
      </c>
      <c r="G23" s="516">
        <v>0.050307265</v>
      </c>
      <c r="H23" s="516">
        <v>0.012126571</v>
      </c>
    </row>
    <row r="24">
      <c r="A24" s="511" t="s">
        <v>30</v>
      </c>
      <c r="B24" s="512">
        <v>-0.012498199</v>
      </c>
      <c r="C24" s="512">
        <v>0.34914553</v>
      </c>
      <c r="D24" s="512">
        <v>0.015834151</v>
      </c>
      <c r="E24" s="512">
        <v>0.457770298</v>
      </c>
      <c r="F24" s="512">
        <v>0.005462205</v>
      </c>
      <c r="G24" s="512">
        <v>1.0</v>
      </c>
      <c r="H24" s="512">
        <f t="shared" ref="H24:H28" si="3">((ABS(B24)+ABS(D24)+ABS(F24))/3)</f>
        <v>0.01126485167</v>
      </c>
    </row>
    <row r="25">
      <c r="A25" s="511" t="s">
        <v>24</v>
      </c>
      <c r="B25" s="512">
        <v>-0.017596187</v>
      </c>
      <c r="C25" s="512">
        <v>0.070159989</v>
      </c>
      <c r="D25" s="512">
        <v>-0.009764782</v>
      </c>
      <c r="E25" s="512">
        <v>1.0</v>
      </c>
      <c r="F25" s="512">
        <v>-0.003963648</v>
      </c>
      <c r="G25" s="512">
        <v>1.0</v>
      </c>
      <c r="H25" s="512">
        <f t="shared" si="3"/>
        <v>0.010441539</v>
      </c>
    </row>
    <row r="26">
      <c r="A26" s="511" t="s">
        <v>59</v>
      </c>
      <c r="B26" s="512">
        <v>-0.005819043</v>
      </c>
      <c r="C26" s="512">
        <v>1.0</v>
      </c>
      <c r="D26" s="512">
        <v>0.011856062</v>
      </c>
      <c r="E26" s="512">
        <v>0.829551644</v>
      </c>
      <c r="F26" s="512">
        <v>0.009736901</v>
      </c>
      <c r="G26" s="512">
        <v>0.806211967</v>
      </c>
      <c r="H26" s="512">
        <f t="shared" si="3"/>
        <v>0.009137335333</v>
      </c>
    </row>
    <row r="27">
      <c r="A27" s="511" t="s">
        <v>73</v>
      </c>
      <c r="B27" s="512">
        <v>0.009118878</v>
      </c>
      <c r="C27" s="512">
        <v>0.75169842</v>
      </c>
      <c r="D27" s="512">
        <v>-0.005887493</v>
      </c>
      <c r="E27" s="512">
        <v>1.0</v>
      </c>
      <c r="F27" s="512">
        <v>0.002804051</v>
      </c>
      <c r="G27" s="512">
        <v>1.0</v>
      </c>
      <c r="H27" s="512">
        <f t="shared" si="3"/>
        <v>0.005936807333</v>
      </c>
    </row>
    <row r="28">
      <c r="A28" s="511" t="s">
        <v>264</v>
      </c>
      <c r="B28" s="512">
        <v>0.001769449</v>
      </c>
      <c r="C28" s="512">
        <v>1.0</v>
      </c>
      <c r="D28" s="512">
        <v>0.012669712</v>
      </c>
      <c r="E28" s="512">
        <v>0.763243488</v>
      </c>
      <c r="F28" s="512">
        <v>0.00147752</v>
      </c>
      <c r="G28" s="512">
        <v>1.0</v>
      </c>
      <c r="H28" s="512">
        <f t="shared" si="3"/>
        <v>0.005305560333</v>
      </c>
    </row>
    <row r="29">
      <c r="C29" s="504"/>
      <c r="E29" s="504"/>
      <c r="G29" s="504"/>
    </row>
    <row r="30">
      <c r="A30" s="519" t="s">
        <v>706</v>
      </c>
    </row>
    <row r="33">
      <c r="C33" s="504"/>
      <c r="E33" s="504"/>
      <c r="G33" s="504"/>
    </row>
    <row r="34">
      <c r="C34" s="504"/>
      <c r="E34" s="504"/>
      <c r="G34" s="504"/>
    </row>
    <row r="35">
      <c r="C35" s="504"/>
      <c r="E35" s="504"/>
      <c r="G35" s="504"/>
    </row>
    <row r="36">
      <c r="C36" s="504"/>
      <c r="E36" s="504"/>
      <c r="G36" s="504"/>
    </row>
    <row r="37">
      <c r="C37" s="504"/>
      <c r="E37" s="504"/>
      <c r="G37" s="504"/>
    </row>
    <row r="38">
      <c r="C38" s="504"/>
      <c r="E38" s="504"/>
      <c r="G38" s="504"/>
    </row>
    <row r="39">
      <c r="C39" s="504"/>
      <c r="E39" s="504"/>
      <c r="G39" s="504"/>
    </row>
    <row r="40">
      <c r="C40" s="504"/>
      <c r="E40" s="504"/>
      <c r="G40" s="504"/>
    </row>
    <row r="41">
      <c r="C41" s="504"/>
      <c r="E41" s="504"/>
      <c r="G41" s="504"/>
    </row>
    <row r="42">
      <c r="C42" s="504"/>
      <c r="E42" s="504"/>
      <c r="G42" s="504"/>
    </row>
    <row r="43">
      <c r="C43" s="504"/>
      <c r="E43" s="504"/>
      <c r="G43" s="504"/>
    </row>
    <row r="44">
      <c r="C44" s="504"/>
      <c r="E44" s="504"/>
      <c r="G44" s="504"/>
    </row>
    <row r="45">
      <c r="C45" s="504"/>
      <c r="E45" s="504"/>
      <c r="G45" s="504"/>
    </row>
    <row r="46">
      <c r="C46" s="504"/>
      <c r="E46" s="504"/>
      <c r="G46" s="504"/>
    </row>
    <row r="47">
      <c r="C47" s="504"/>
      <c r="E47" s="504"/>
      <c r="G47" s="504"/>
    </row>
    <row r="48">
      <c r="C48" s="504"/>
      <c r="E48" s="504"/>
      <c r="G48" s="504"/>
    </row>
    <row r="49">
      <c r="C49" s="504"/>
      <c r="E49" s="504"/>
      <c r="G49" s="504"/>
    </row>
    <row r="50">
      <c r="C50" s="504"/>
      <c r="E50" s="504"/>
      <c r="G50" s="504"/>
    </row>
    <row r="51">
      <c r="C51" s="504"/>
      <c r="E51" s="504"/>
      <c r="G51" s="504"/>
    </row>
    <row r="52">
      <c r="C52" s="504"/>
      <c r="E52" s="504"/>
      <c r="G52" s="504"/>
    </row>
    <row r="53">
      <c r="C53" s="504"/>
      <c r="E53" s="504"/>
      <c r="G53" s="504"/>
    </row>
    <row r="54">
      <c r="C54" s="504"/>
      <c r="E54" s="504"/>
      <c r="G54" s="504"/>
    </row>
    <row r="55">
      <c r="C55" s="504"/>
      <c r="E55" s="504"/>
      <c r="G55" s="504"/>
    </row>
    <row r="56">
      <c r="C56" s="504"/>
      <c r="E56" s="504"/>
      <c r="G56" s="504"/>
    </row>
    <row r="57">
      <c r="C57" s="504"/>
      <c r="E57" s="504"/>
      <c r="G57" s="504"/>
    </row>
    <row r="58">
      <c r="C58" s="504"/>
      <c r="E58" s="504"/>
      <c r="G58" s="504"/>
    </row>
    <row r="59">
      <c r="C59" s="504"/>
      <c r="E59" s="504"/>
      <c r="G59" s="504"/>
    </row>
    <row r="60">
      <c r="C60" s="504"/>
      <c r="E60" s="504"/>
      <c r="G60" s="504"/>
    </row>
    <row r="61">
      <c r="C61" s="504"/>
      <c r="E61" s="504"/>
      <c r="G61" s="504"/>
    </row>
    <row r="62">
      <c r="C62" s="504"/>
      <c r="E62" s="504"/>
      <c r="G62" s="504"/>
    </row>
    <row r="63">
      <c r="C63" s="504"/>
      <c r="E63" s="504"/>
      <c r="G63" s="504"/>
    </row>
    <row r="64">
      <c r="C64" s="504"/>
      <c r="E64" s="504"/>
      <c r="G64" s="504"/>
    </row>
    <row r="65">
      <c r="C65" s="504"/>
      <c r="E65" s="504"/>
      <c r="G65" s="504"/>
    </row>
    <row r="66">
      <c r="C66" s="504"/>
      <c r="E66" s="504"/>
      <c r="G66" s="504"/>
    </row>
    <row r="67">
      <c r="C67" s="504"/>
      <c r="E67" s="504"/>
      <c r="G67" s="504"/>
    </row>
    <row r="68">
      <c r="C68" s="504"/>
      <c r="E68" s="504"/>
      <c r="G68" s="504"/>
    </row>
    <row r="69">
      <c r="C69" s="504"/>
      <c r="E69" s="504"/>
      <c r="G69" s="504"/>
    </row>
    <row r="70">
      <c r="C70" s="504"/>
      <c r="E70" s="504"/>
      <c r="G70" s="504"/>
    </row>
    <row r="71">
      <c r="C71" s="504"/>
      <c r="E71" s="504"/>
      <c r="G71" s="504"/>
    </row>
    <row r="72">
      <c r="C72" s="504"/>
      <c r="E72" s="504"/>
      <c r="G72" s="504"/>
    </row>
    <row r="73">
      <c r="C73" s="504"/>
      <c r="E73" s="504"/>
      <c r="G73" s="504"/>
    </row>
    <row r="74">
      <c r="C74" s="504"/>
      <c r="E74" s="504"/>
      <c r="G74" s="504"/>
    </row>
    <row r="75">
      <c r="C75" s="504"/>
      <c r="E75" s="504"/>
      <c r="G75" s="504"/>
    </row>
    <row r="76">
      <c r="C76" s="504"/>
      <c r="E76" s="504"/>
      <c r="G76" s="504"/>
    </row>
    <row r="77">
      <c r="C77" s="504"/>
      <c r="E77" s="504"/>
      <c r="G77" s="504"/>
    </row>
    <row r="78">
      <c r="C78" s="504"/>
      <c r="E78" s="504"/>
      <c r="G78" s="504"/>
    </row>
    <row r="79">
      <c r="C79" s="504"/>
      <c r="E79" s="504"/>
      <c r="G79" s="504"/>
    </row>
    <row r="80">
      <c r="C80" s="504"/>
      <c r="E80" s="504"/>
      <c r="G80" s="504"/>
    </row>
    <row r="81">
      <c r="C81" s="504"/>
      <c r="E81" s="504"/>
      <c r="G81" s="504"/>
    </row>
    <row r="82">
      <c r="C82" s="504"/>
      <c r="E82" s="504"/>
      <c r="G82" s="504"/>
    </row>
    <row r="83">
      <c r="C83" s="504"/>
      <c r="E83" s="504"/>
      <c r="G83" s="504"/>
    </row>
    <row r="84">
      <c r="C84" s="504"/>
      <c r="E84" s="504"/>
      <c r="G84" s="504"/>
    </row>
    <row r="85">
      <c r="C85" s="504"/>
      <c r="E85" s="504"/>
      <c r="G85" s="504"/>
    </row>
    <row r="86">
      <c r="C86" s="504"/>
      <c r="E86" s="504"/>
      <c r="G86" s="504"/>
    </row>
    <row r="87">
      <c r="C87" s="504"/>
      <c r="E87" s="504"/>
      <c r="G87" s="504"/>
    </row>
    <row r="88">
      <c r="C88" s="504"/>
      <c r="E88" s="504"/>
      <c r="G88" s="504"/>
    </row>
    <row r="89">
      <c r="C89" s="504"/>
      <c r="E89" s="504"/>
      <c r="G89" s="504"/>
    </row>
    <row r="90">
      <c r="C90" s="504"/>
      <c r="E90" s="504"/>
      <c r="G90" s="504"/>
    </row>
    <row r="91">
      <c r="C91" s="504"/>
      <c r="E91" s="504"/>
      <c r="G91" s="504"/>
    </row>
    <row r="92">
      <c r="C92" s="504"/>
      <c r="E92" s="504"/>
      <c r="G92" s="504"/>
    </row>
    <row r="93">
      <c r="C93" s="504"/>
      <c r="E93" s="504"/>
      <c r="G93" s="504"/>
    </row>
    <row r="94">
      <c r="C94" s="504"/>
      <c r="E94" s="504"/>
      <c r="G94" s="504"/>
    </row>
    <row r="95">
      <c r="C95" s="504"/>
      <c r="E95" s="504"/>
      <c r="G95" s="504"/>
    </row>
    <row r="96">
      <c r="C96" s="504"/>
      <c r="E96" s="504"/>
      <c r="G96" s="504"/>
    </row>
    <row r="97">
      <c r="C97" s="504"/>
      <c r="E97" s="504"/>
      <c r="G97" s="504"/>
    </row>
    <row r="98">
      <c r="C98" s="504"/>
      <c r="E98" s="504"/>
      <c r="G98" s="504"/>
    </row>
    <row r="99">
      <c r="C99" s="504"/>
      <c r="E99" s="504"/>
      <c r="G99" s="504"/>
    </row>
    <row r="100">
      <c r="C100" s="504"/>
      <c r="E100" s="504"/>
      <c r="G100" s="504"/>
    </row>
    <row r="101">
      <c r="C101" s="504"/>
      <c r="E101" s="504"/>
      <c r="G101" s="504"/>
    </row>
    <row r="102">
      <c r="C102" s="504"/>
      <c r="E102" s="504"/>
      <c r="G102" s="504"/>
    </row>
    <row r="103">
      <c r="C103" s="504"/>
      <c r="E103" s="504"/>
      <c r="G103" s="504"/>
    </row>
    <row r="104">
      <c r="C104" s="504"/>
      <c r="E104" s="504"/>
      <c r="G104" s="504"/>
    </row>
    <row r="105">
      <c r="C105" s="504"/>
      <c r="E105" s="504"/>
      <c r="G105" s="504"/>
    </row>
    <row r="106">
      <c r="C106" s="504"/>
      <c r="E106" s="504"/>
      <c r="G106" s="504"/>
    </row>
    <row r="107">
      <c r="C107" s="504"/>
      <c r="E107" s="504"/>
      <c r="G107" s="504"/>
    </row>
    <row r="108">
      <c r="C108" s="504"/>
      <c r="E108" s="504"/>
      <c r="G108" s="504"/>
    </row>
    <row r="109">
      <c r="C109" s="504"/>
      <c r="E109" s="504"/>
      <c r="G109" s="504"/>
    </row>
    <row r="110">
      <c r="C110" s="504"/>
      <c r="E110" s="504"/>
      <c r="G110" s="504"/>
    </row>
    <row r="111">
      <c r="C111" s="504"/>
      <c r="E111" s="504"/>
      <c r="G111" s="504"/>
    </row>
    <row r="112">
      <c r="C112" s="504"/>
      <c r="E112" s="504"/>
      <c r="G112" s="504"/>
    </row>
    <row r="113">
      <c r="C113" s="504"/>
      <c r="E113" s="504"/>
      <c r="G113" s="504"/>
    </row>
    <row r="114">
      <c r="C114" s="504"/>
      <c r="E114" s="504"/>
      <c r="G114" s="504"/>
    </row>
    <row r="115">
      <c r="C115" s="504"/>
      <c r="E115" s="504"/>
      <c r="G115" s="504"/>
    </row>
    <row r="116">
      <c r="C116" s="504"/>
      <c r="E116" s="504"/>
      <c r="G116" s="504"/>
    </row>
    <row r="117">
      <c r="C117" s="504"/>
      <c r="E117" s="504"/>
      <c r="G117" s="504"/>
    </row>
    <row r="118">
      <c r="C118" s="504"/>
      <c r="E118" s="504"/>
      <c r="G118" s="504"/>
    </row>
    <row r="119">
      <c r="C119" s="504"/>
      <c r="E119" s="504"/>
      <c r="G119" s="504"/>
    </row>
    <row r="120">
      <c r="C120" s="504"/>
      <c r="E120" s="504"/>
      <c r="G120" s="504"/>
    </row>
    <row r="121">
      <c r="C121" s="504"/>
      <c r="E121" s="504"/>
      <c r="G121" s="504"/>
    </row>
    <row r="122">
      <c r="C122" s="504"/>
      <c r="E122" s="504"/>
      <c r="G122" s="504"/>
    </row>
    <row r="123">
      <c r="C123" s="504"/>
      <c r="E123" s="504"/>
      <c r="G123" s="504"/>
    </row>
    <row r="124">
      <c r="C124" s="504"/>
      <c r="E124" s="504"/>
      <c r="G124" s="504"/>
    </row>
    <row r="125">
      <c r="C125" s="504"/>
      <c r="E125" s="504"/>
      <c r="G125" s="504"/>
    </row>
    <row r="126">
      <c r="C126" s="504"/>
      <c r="E126" s="504"/>
      <c r="G126" s="504"/>
    </row>
    <row r="127">
      <c r="C127" s="504"/>
      <c r="E127" s="504"/>
      <c r="G127" s="504"/>
    </row>
    <row r="128">
      <c r="C128" s="504"/>
      <c r="E128" s="504"/>
      <c r="G128" s="504"/>
    </row>
    <row r="129">
      <c r="C129" s="504"/>
      <c r="E129" s="504"/>
      <c r="G129" s="504"/>
    </row>
    <row r="130">
      <c r="C130" s="504"/>
      <c r="E130" s="504"/>
      <c r="G130" s="504"/>
    </row>
    <row r="131">
      <c r="C131" s="504"/>
      <c r="E131" s="504"/>
      <c r="G131" s="504"/>
    </row>
    <row r="132">
      <c r="C132" s="504"/>
      <c r="E132" s="504"/>
      <c r="G132" s="504"/>
    </row>
    <row r="133">
      <c r="C133" s="504"/>
      <c r="E133" s="504"/>
      <c r="G133" s="504"/>
    </row>
    <row r="134">
      <c r="C134" s="504"/>
      <c r="E134" s="504"/>
      <c r="G134" s="504"/>
    </row>
    <row r="135">
      <c r="C135" s="504"/>
      <c r="E135" s="504"/>
      <c r="G135" s="504"/>
    </row>
    <row r="136">
      <c r="C136" s="504"/>
      <c r="E136" s="504"/>
      <c r="G136" s="504"/>
    </row>
    <row r="137">
      <c r="C137" s="504"/>
      <c r="E137" s="504"/>
      <c r="G137" s="504"/>
    </row>
    <row r="138">
      <c r="C138" s="504"/>
      <c r="E138" s="504"/>
      <c r="G138" s="504"/>
    </row>
    <row r="139">
      <c r="C139" s="504"/>
      <c r="E139" s="504"/>
      <c r="G139" s="504"/>
    </row>
    <row r="140">
      <c r="C140" s="504"/>
      <c r="E140" s="504"/>
      <c r="G140" s="504"/>
    </row>
    <row r="141">
      <c r="C141" s="504"/>
      <c r="E141" s="504"/>
      <c r="G141" s="504"/>
    </row>
    <row r="142">
      <c r="C142" s="504"/>
      <c r="E142" s="504"/>
      <c r="G142" s="504"/>
    </row>
    <row r="143">
      <c r="C143" s="504"/>
      <c r="E143" s="504"/>
      <c r="G143" s="504"/>
    </row>
    <row r="144">
      <c r="C144" s="504"/>
      <c r="E144" s="504"/>
      <c r="G144" s="504"/>
    </row>
    <row r="145">
      <c r="C145" s="504"/>
      <c r="E145" s="504"/>
      <c r="G145" s="504"/>
    </row>
    <row r="146">
      <c r="C146" s="504"/>
      <c r="E146" s="504"/>
      <c r="G146" s="504"/>
    </row>
    <row r="147">
      <c r="C147" s="504"/>
      <c r="E147" s="504"/>
      <c r="G147" s="504"/>
    </row>
    <row r="148">
      <c r="C148" s="504"/>
      <c r="E148" s="504"/>
      <c r="G148" s="504"/>
    </row>
    <row r="149">
      <c r="C149" s="504"/>
      <c r="E149" s="504"/>
      <c r="G149" s="504"/>
    </row>
    <row r="150">
      <c r="C150" s="504"/>
      <c r="E150" s="504"/>
      <c r="G150" s="504"/>
    </row>
    <row r="151">
      <c r="C151" s="504"/>
      <c r="E151" s="504"/>
      <c r="G151" s="504"/>
    </row>
    <row r="152">
      <c r="C152" s="504"/>
      <c r="E152" s="504"/>
      <c r="G152" s="504"/>
    </row>
    <row r="153">
      <c r="C153" s="504"/>
      <c r="E153" s="504"/>
      <c r="G153" s="504"/>
    </row>
    <row r="154">
      <c r="C154" s="504"/>
      <c r="E154" s="504"/>
      <c r="G154" s="504"/>
    </row>
    <row r="155">
      <c r="C155" s="504"/>
      <c r="E155" s="504"/>
      <c r="G155" s="504"/>
    </row>
    <row r="156">
      <c r="C156" s="504"/>
      <c r="E156" s="504"/>
      <c r="G156" s="504"/>
    </row>
    <row r="157">
      <c r="C157" s="504"/>
      <c r="E157" s="504"/>
      <c r="G157" s="504"/>
    </row>
    <row r="158">
      <c r="C158" s="504"/>
      <c r="E158" s="504"/>
      <c r="G158" s="504"/>
    </row>
    <row r="159">
      <c r="C159" s="504"/>
      <c r="E159" s="504"/>
      <c r="G159" s="504"/>
    </row>
    <row r="160">
      <c r="C160" s="504"/>
      <c r="E160" s="504"/>
      <c r="G160" s="504"/>
    </row>
    <row r="161">
      <c r="C161" s="504"/>
      <c r="E161" s="504"/>
      <c r="G161" s="504"/>
    </row>
    <row r="162">
      <c r="C162" s="504"/>
      <c r="E162" s="504"/>
      <c r="G162" s="504"/>
    </row>
    <row r="163">
      <c r="C163" s="504"/>
      <c r="E163" s="504"/>
      <c r="G163" s="504"/>
    </row>
    <row r="164">
      <c r="C164" s="504"/>
      <c r="E164" s="504"/>
      <c r="G164" s="504"/>
    </row>
    <row r="165">
      <c r="C165" s="504"/>
      <c r="E165" s="504"/>
      <c r="G165" s="504"/>
    </row>
    <row r="166">
      <c r="C166" s="504"/>
      <c r="E166" s="504"/>
      <c r="G166" s="504"/>
    </row>
    <row r="167">
      <c r="C167" s="504"/>
      <c r="E167" s="504"/>
      <c r="G167" s="504"/>
    </row>
    <row r="168">
      <c r="C168" s="504"/>
      <c r="E168" s="504"/>
      <c r="G168" s="504"/>
    </row>
    <row r="169">
      <c r="C169" s="504"/>
      <c r="E169" s="504"/>
      <c r="G169" s="504"/>
    </row>
    <row r="170">
      <c r="C170" s="504"/>
      <c r="E170" s="504"/>
      <c r="G170" s="504"/>
    </row>
    <row r="171">
      <c r="C171" s="504"/>
      <c r="E171" s="504"/>
      <c r="G171" s="504"/>
    </row>
    <row r="172">
      <c r="C172" s="504"/>
      <c r="E172" s="504"/>
      <c r="G172" s="504"/>
    </row>
    <row r="173">
      <c r="C173" s="504"/>
      <c r="E173" s="504"/>
      <c r="G173" s="504"/>
    </row>
    <row r="174">
      <c r="C174" s="504"/>
      <c r="E174" s="504"/>
      <c r="G174" s="504"/>
    </row>
    <row r="175">
      <c r="C175" s="504"/>
      <c r="E175" s="504"/>
      <c r="G175" s="504"/>
    </row>
    <row r="176">
      <c r="C176" s="504"/>
      <c r="E176" s="504"/>
      <c r="G176" s="504"/>
    </row>
    <row r="177">
      <c r="C177" s="504"/>
      <c r="E177" s="504"/>
      <c r="G177" s="504"/>
    </row>
    <row r="178">
      <c r="C178" s="504"/>
      <c r="E178" s="504"/>
      <c r="G178" s="504"/>
    </row>
    <row r="179">
      <c r="C179" s="504"/>
      <c r="E179" s="504"/>
      <c r="G179" s="504"/>
    </row>
    <row r="180">
      <c r="C180" s="504"/>
      <c r="E180" s="504"/>
      <c r="G180" s="504"/>
    </row>
    <row r="181">
      <c r="C181" s="504"/>
      <c r="E181" s="504"/>
      <c r="G181" s="504"/>
    </row>
    <row r="182">
      <c r="C182" s="504"/>
      <c r="E182" s="504"/>
      <c r="G182" s="504"/>
    </row>
    <row r="183">
      <c r="C183" s="504"/>
      <c r="E183" s="504"/>
      <c r="G183" s="504"/>
    </row>
    <row r="184">
      <c r="C184" s="504"/>
      <c r="E184" s="504"/>
      <c r="G184" s="504"/>
    </row>
    <row r="185">
      <c r="C185" s="504"/>
      <c r="E185" s="504"/>
      <c r="G185" s="504"/>
    </row>
    <row r="186">
      <c r="C186" s="504"/>
      <c r="E186" s="504"/>
      <c r="G186" s="504"/>
    </row>
    <row r="187">
      <c r="C187" s="504"/>
      <c r="E187" s="504"/>
      <c r="G187" s="504"/>
    </row>
    <row r="188">
      <c r="C188" s="504"/>
      <c r="E188" s="504"/>
      <c r="G188" s="504"/>
    </row>
    <row r="189">
      <c r="C189" s="504"/>
      <c r="E189" s="504"/>
      <c r="G189" s="504"/>
    </row>
    <row r="190">
      <c r="C190" s="504"/>
      <c r="E190" s="504"/>
      <c r="G190" s="504"/>
    </row>
    <row r="191">
      <c r="C191" s="504"/>
      <c r="E191" s="504"/>
      <c r="G191" s="504"/>
    </row>
    <row r="192">
      <c r="C192" s="504"/>
      <c r="E192" s="504"/>
      <c r="G192" s="504"/>
    </row>
    <row r="193">
      <c r="C193" s="504"/>
      <c r="E193" s="504"/>
      <c r="G193" s="504"/>
    </row>
    <row r="194">
      <c r="C194" s="504"/>
      <c r="E194" s="504"/>
      <c r="G194" s="504"/>
    </row>
    <row r="195">
      <c r="C195" s="504"/>
      <c r="E195" s="504"/>
      <c r="G195" s="504"/>
    </row>
    <row r="196">
      <c r="C196" s="504"/>
      <c r="E196" s="504"/>
      <c r="G196" s="504"/>
    </row>
    <row r="197">
      <c r="C197" s="504"/>
      <c r="E197" s="504"/>
      <c r="G197" s="504"/>
    </row>
    <row r="198">
      <c r="C198" s="504"/>
      <c r="E198" s="504"/>
      <c r="G198" s="504"/>
    </row>
    <row r="199">
      <c r="C199" s="504"/>
      <c r="E199" s="504"/>
      <c r="G199" s="504"/>
    </row>
    <row r="200">
      <c r="C200" s="504"/>
      <c r="E200" s="504"/>
      <c r="G200" s="504"/>
    </row>
    <row r="201">
      <c r="C201" s="504"/>
      <c r="E201" s="504"/>
      <c r="G201" s="504"/>
    </row>
    <row r="202">
      <c r="C202" s="504"/>
      <c r="E202" s="504"/>
      <c r="G202" s="504"/>
    </row>
    <row r="203">
      <c r="C203" s="504"/>
      <c r="E203" s="504"/>
      <c r="G203" s="504"/>
    </row>
    <row r="204">
      <c r="C204" s="504"/>
      <c r="E204" s="504"/>
      <c r="G204" s="504"/>
    </row>
    <row r="205">
      <c r="C205" s="504"/>
      <c r="E205" s="504"/>
      <c r="G205" s="504"/>
    </row>
    <row r="206">
      <c r="C206" s="504"/>
      <c r="E206" s="504"/>
      <c r="G206" s="504"/>
    </row>
    <row r="207">
      <c r="C207" s="504"/>
      <c r="E207" s="504"/>
      <c r="G207" s="504"/>
    </row>
    <row r="208">
      <c r="C208" s="504"/>
      <c r="E208" s="504"/>
      <c r="G208" s="504"/>
    </row>
    <row r="209">
      <c r="C209" s="504"/>
      <c r="E209" s="504"/>
      <c r="G209" s="504"/>
    </row>
    <row r="210">
      <c r="C210" s="504"/>
      <c r="E210" s="504"/>
      <c r="G210" s="504"/>
    </row>
    <row r="211">
      <c r="C211" s="504"/>
      <c r="E211" s="504"/>
      <c r="G211" s="504"/>
    </row>
    <row r="212">
      <c r="C212" s="504"/>
      <c r="E212" s="504"/>
      <c r="G212" s="504"/>
    </row>
    <row r="213">
      <c r="C213" s="504"/>
      <c r="E213" s="504"/>
      <c r="G213" s="504"/>
    </row>
    <row r="214">
      <c r="C214" s="504"/>
      <c r="E214" s="504"/>
      <c r="G214" s="504"/>
    </row>
    <row r="215">
      <c r="C215" s="504"/>
      <c r="E215" s="504"/>
      <c r="G215" s="504"/>
    </row>
    <row r="216">
      <c r="C216" s="504"/>
      <c r="E216" s="504"/>
      <c r="G216" s="504"/>
    </row>
    <row r="217">
      <c r="C217" s="504"/>
      <c r="E217" s="504"/>
      <c r="G217" s="504"/>
    </row>
    <row r="218">
      <c r="C218" s="504"/>
      <c r="E218" s="504"/>
      <c r="G218" s="504"/>
    </row>
    <row r="219">
      <c r="C219" s="504"/>
      <c r="E219" s="504"/>
      <c r="G219" s="504"/>
    </row>
    <row r="220">
      <c r="C220" s="504"/>
      <c r="E220" s="504"/>
      <c r="G220" s="504"/>
    </row>
    <row r="221">
      <c r="C221" s="504"/>
      <c r="E221" s="504"/>
      <c r="G221" s="504"/>
    </row>
    <row r="222">
      <c r="C222" s="504"/>
      <c r="E222" s="504"/>
      <c r="G222" s="504"/>
    </row>
    <row r="223">
      <c r="C223" s="504"/>
      <c r="E223" s="504"/>
      <c r="G223" s="504"/>
    </row>
    <row r="224">
      <c r="C224" s="504"/>
      <c r="E224" s="504"/>
      <c r="G224" s="504"/>
    </row>
    <row r="225">
      <c r="C225" s="504"/>
      <c r="E225" s="504"/>
      <c r="G225" s="504"/>
    </row>
    <row r="226">
      <c r="C226" s="504"/>
      <c r="E226" s="504"/>
      <c r="G226" s="504"/>
    </row>
    <row r="227">
      <c r="C227" s="504"/>
      <c r="E227" s="504"/>
      <c r="G227" s="504"/>
    </row>
    <row r="228">
      <c r="C228" s="504"/>
      <c r="E228" s="504"/>
      <c r="G228" s="504"/>
    </row>
    <row r="229">
      <c r="C229" s="504"/>
      <c r="E229" s="504"/>
      <c r="G229" s="504"/>
    </row>
    <row r="230">
      <c r="C230" s="504"/>
      <c r="E230" s="504"/>
      <c r="G230" s="504"/>
    </row>
    <row r="231">
      <c r="C231" s="504"/>
      <c r="E231" s="504"/>
      <c r="G231" s="504"/>
    </row>
    <row r="232">
      <c r="C232" s="504"/>
      <c r="E232" s="504"/>
      <c r="G232" s="504"/>
    </row>
    <row r="233">
      <c r="C233" s="504"/>
      <c r="E233" s="504"/>
      <c r="G233" s="504"/>
    </row>
    <row r="234">
      <c r="C234" s="504"/>
      <c r="E234" s="504"/>
      <c r="G234" s="504"/>
    </row>
    <row r="235">
      <c r="C235" s="504"/>
      <c r="E235" s="504"/>
      <c r="G235" s="504"/>
    </row>
    <row r="236">
      <c r="C236" s="504"/>
      <c r="E236" s="504"/>
      <c r="G236" s="504"/>
    </row>
    <row r="237">
      <c r="C237" s="504"/>
      <c r="E237" s="504"/>
      <c r="G237" s="504"/>
    </row>
    <row r="238">
      <c r="C238" s="504"/>
      <c r="E238" s="504"/>
      <c r="G238" s="504"/>
    </row>
    <row r="239">
      <c r="C239" s="504"/>
      <c r="E239" s="504"/>
      <c r="G239" s="504"/>
    </row>
    <row r="240">
      <c r="C240" s="504"/>
      <c r="E240" s="504"/>
      <c r="G240" s="504"/>
    </row>
    <row r="241">
      <c r="C241" s="504"/>
      <c r="E241" s="504"/>
      <c r="G241" s="504"/>
    </row>
    <row r="242">
      <c r="C242" s="504"/>
      <c r="E242" s="504"/>
      <c r="G242" s="504"/>
    </row>
    <row r="243">
      <c r="C243" s="504"/>
      <c r="E243" s="504"/>
      <c r="G243" s="504"/>
    </row>
    <row r="244">
      <c r="C244" s="504"/>
      <c r="E244" s="504"/>
      <c r="G244" s="504"/>
    </row>
    <row r="245">
      <c r="C245" s="504"/>
      <c r="E245" s="504"/>
      <c r="G245" s="504"/>
    </row>
    <row r="246">
      <c r="C246" s="504"/>
      <c r="E246" s="504"/>
      <c r="G246" s="504"/>
    </row>
    <row r="247">
      <c r="C247" s="504"/>
      <c r="E247" s="504"/>
      <c r="G247" s="504"/>
    </row>
    <row r="248">
      <c r="C248" s="504"/>
      <c r="E248" s="504"/>
      <c r="G248" s="504"/>
    </row>
    <row r="249">
      <c r="C249" s="504"/>
      <c r="E249" s="504"/>
      <c r="G249" s="504"/>
    </row>
    <row r="250">
      <c r="C250" s="504"/>
      <c r="E250" s="504"/>
      <c r="G250" s="504"/>
    </row>
    <row r="251">
      <c r="C251" s="504"/>
      <c r="E251" s="504"/>
      <c r="G251" s="504"/>
    </row>
    <row r="252">
      <c r="C252" s="504"/>
      <c r="E252" s="504"/>
      <c r="G252" s="504"/>
    </row>
    <row r="253">
      <c r="C253" s="504"/>
      <c r="E253" s="504"/>
      <c r="G253" s="504"/>
    </row>
    <row r="254">
      <c r="C254" s="504"/>
      <c r="E254" s="504"/>
      <c r="G254" s="504"/>
    </row>
    <row r="255">
      <c r="C255" s="504"/>
      <c r="E255" s="504"/>
      <c r="G255" s="504"/>
    </row>
    <row r="256">
      <c r="C256" s="504"/>
      <c r="E256" s="504"/>
      <c r="G256" s="504"/>
    </row>
    <row r="257">
      <c r="C257" s="504"/>
      <c r="E257" s="504"/>
      <c r="G257" s="504"/>
    </row>
    <row r="258">
      <c r="C258" s="504"/>
      <c r="E258" s="504"/>
      <c r="G258" s="504"/>
    </row>
    <row r="259">
      <c r="C259" s="504"/>
      <c r="E259" s="504"/>
      <c r="G259" s="504"/>
    </row>
    <row r="260">
      <c r="C260" s="504"/>
      <c r="E260" s="504"/>
      <c r="G260" s="504"/>
    </row>
    <row r="261">
      <c r="C261" s="504"/>
      <c r="E261" s="504"/>
      <c r="G261" s="504"/>
    </row>
    <row r="262">
      <c r="C262" s="504"/>
      <c r="E262" s="504"/>
      <c r="G262" s="504"/>
    </row>
    <row r="263">
      <c r="C263" s="504"/>
      <c r="E263" s="504"/>
      <c r="G263" s="504"/>
    </row>
    <row r="264">
      <c r="C264" s="504"/>
      <c r="E264" s="504"/>
      <c r="G264" s="504"/>
    </row>
    <row r="265">
      <c r="C265" s="504"/>
      <c r="E265" s="504"/>
      <c r="G265" s="504"/>
    </row>
    <row r="266">
      <c r="C266" s="504"/>
      <c r="E266" s="504"/>
      <c r="G266" s="504"/>
    </row>
    <row r="267">
      <c r="C267" s="504"/>
      <c r="E267" s="504"/>
      <c r="G267" s="504"/>
    </row>
    <row r="268">
      <c r="C268" s="504"/>
      <c r="E268" s="504"/>
      <c r="G268" s="504"/>
    </row>
    <row r="269">
      <c r="C269" s="504"/>
      <c r="E269" s="504"/>
      <c r="G269" s="504"/>
    </row>
    <row r="270">
      <c r="C270" s="504"/>
      <c r="E270" s="504"/>
      <c r="G270" s="504"/>
    </row>
    <row r="271">
      <c r="C271" s="504"/>
      <c r="E271" s="504"/>
      <c r="G271" s="504"/>
    </row>
    <row r="272">
      <c r="C272" s="504"/>
      <c r="E272" s="504"/>
      <c r="G272" s="504"/>
    </row>
    <row r="273">
      <c r="C273" s="504"/>
      <c r="E273" s="504"/>
      <c r="G273" s="504"/>
    </row>
    <row r="274">
      <c r="C274" s="504"/>
      <c r="E274" s="504"/>
      <c r="G274" s="504"/>
    </row>
    <row r="275">
      <c r="C275" s="504"/>
      <c r="E275" s="504"/>
      <c r="G275" s="504"/>
    </row>
    <row r="276">
      <c r="C276" s="504"/>
      <c r="E276" s="504"/>
      <c r="G276" s="504"/>
    </row>
    <row r="277">
      <c r="C277" s="504"/>
      <c r="E277" s="504"/>
      <c r="G277" s="504"/>
    </row>
    <row r="278">
      <c r="C278" s="504"/>
      <c r="E278" s="504"/>
      <c r="G278" s="504"/>
    </row>
    <row r="279">
      <c r="C279" s="504"/>
      <c r="E279" s="504"/>
      <c r="G279" s="504"/>
    </row>
    <row r="280">
      <c r="C280" s="504"/>
      <c r="E280" s="504"/>
      <c r="G280" s="504"/>
    </row>
    <row r="281">
      <c r="C281" s="504"/>
      <c r="E281" s="504"/>
      <c r="G281" s="504"/>
    </row>
    <row r="282">
      <c r="C282" s="504"/>
      <c r="E282" s="504"/>
      <c r="G282" s="504"/>
    </row>
    <row r="283">
      <c r="C283" s="504"/>
      <c r="E283" s="504"/>
      <c r="G283" s="504"/>
    </row>
    <row r="284">
      <c r="C284" s="504"/>
      <c r="E284" s="504"/>
      <c r="G284" s="504"/>
    </row>
    <row r="285">
      <c r="C285" s="504"/>
      <c r="E285" s="504"/>
      <c r="G285" s="504"/>
    </row>
    <row r="286">
      <c r="C286" s="504"/>
      <c r="E286" s="504"/>
      <c r="G286" s="504"/>
    </row>
    <row r="287">
      <c r="C287" s="504"/>
      <c r="E287" s="504"/>
      <c r="G287" s="504"/>
    </row>
    <row r="288">
      <c r="C288" s="504"/>
      <c r="E288" s="504"/>
      <c r="G288" s="504"/>
    </row>
    <row r="289">
      <c r="C289" s="504"/>
      <c r="E289" s="504"/>
      <c r="G289" s="504"/>
    </row>
    <row r="290">
      <c r="C290" s="504"/>
      <c r="E290" s="504"/>
      <c r="G290" s="504"/>
    </row>
    <row r="291">
      <c r="C291" s="504"/>
      <c r="E291" s="504"/>
      <c r="G291" s="504"/>
    </row>
    <row r="292">
      <c r="C292" s="504"/>
      <c r="E292" s="504"/>
      <c r="G292" s="504"/>
    </row>
    <row r="293">
      <c r="C293" s="504"/>
      <c r="E293" s="504"/>
      <c r="G293" s="504"/>
    </row>
    <row r="294">
      <c r="C294" s="504"/>
      <c r="E294" s="504"/>
      <c r="G294" s="504"/>
    </row>
    <row r="295">
      <c r="C295" s="504"/>
      <c r="E295" s="504"/>
      <c r="G295" s="504"/>
    </row>
    <row r="296">
      <c r="C296" s="504"/>
      <c r="E296" s="504"/>
      <c r="G296" s="504"/>
    </row>
    <row r="297">
      <c r="C297" s="504"/>
      <c r="E297" s="504"/>
      <c r="G297" s="504"/>
    </row>
    <row r="298">
      <c r="C298" s="504"/>
      <c r="E298" s="504"/>
      <c r="G298" s="504"/>
    </row>
    <row r="299">
      <c r="C299" s="504"/>
      <c r="E299" s="504"/>
      <c r="G299" s="504"/>
    </row>
    <row r="300">
      <c r="C300" s="504"/>
      <c r="E300" s="504"/>
      <c r="G300" s="504"/>
    </row>
    <row r="301">
      <c r="C301" s="504"/>
      <c r="E301" s="504"/>
      <c r="G301" s="504"/>
    </row>
    <row r="302">
      <c r="C302" s="504"/>
      <c r="E302" s="504"/>
      <c r="G302" s="504"/>
    </row>
    <row r="303">
      <c r="C303" s="504"/>
      <c r="E303" s="504"/>
      <c r="G303" s="504"/>
    </row>
    <row r="304">
      <c r="C304" s="504"/>
      <c r="E304" s="504"/>
      <c r="G304" s="504"/>
    </row>
    <row r="305">
      <c r="C305" s="504"/>
      <c r="E305" s="504"/>
      <c r="G305" s="504"/>
    </row>
    <row r="306">
      <c r="C306" s="504"/>
      <c r="E306" s="504"/>
      <c r="G306" s="504"/>
    </row>
    <row r="307">
      <c r="C307" s="504"/>
      <c r="E307" s="504"/>
      <c r="G307" s="504"/>
    </row>
    <row r="308">
      <c r="C308" s="504"/>
      <c r="E308" s="504"/>
      <c r="G308" s="504"/>
    </row>
    <row r="309">
      <c r="C309" s="504"/>
      <c r="E309" s="504"/>
      <c r="G309" s="504"/>
    </row>
    <row r="310">
      <c r="C310" s="504"/>
      <c r="E310" s="504"/>
      <c r="G310" s="504"/>
    </row>
    <row r="311">
      <c r="C311" s="504"/>
      <c r="E311" s="504"/>
      <c r="G311" s="504"/>
    </row>
    <row r="312">
      <c r="C312" s="504"/>
      <c r="E312" s="504"/>
      <c r="G312" s="504"/>
    </row>
    <row r="313">
      <c r="C313" s="504"/>
      <c r="E313" s="504"/>
      <c r="G313" s="504"/>
    </row>
    <row r="314">
      <c r="C314" s="504"/>
      <c r="E314" s="504"/>
      <c r="G314" s="504"/>
    </row>
    <row r="315">
      <c r="C315" s="504"/>
      <c r="E315" s="504"/>
      <c r="G315" s="504"/>
    </row>
    <row r="316">
      <c r="C316" s="504"/>
      <c r="E316" s="504"/>
      <c r="G316" s="504"/>
    </row>
    <row r="317">
      <c r="C317" s="504"/>
      <c r="E317" s="504"/>
      <c r="G317" s="504"/>
    </row>
    <row r="318">
      <c r="C318" s="504"/>
      <c r="E318" s="504"/>
      <c r="G318" s="504"/>
    </row>
    <row r="319">
      <c r="C319" s="504"/>
      <c r="E319" s="504"/>
      <c r="G319" s="504"/>
    </row>
    <row r="320">
      <c r="C320" s="504"/>
      <c r="E320" s="504"/>
      <c r="G320" s="504"/>
    </row>
    <row r="321">
      <c r="C321" s="504"/>
      <c r="E321" s="504"/>
      <c r="G321" s="504"/>
    </row>
    <row r="322">
      <c r="C322" s="504"/>
      <c r="E322" s="504"/>
      <c r="G322" s="504"/>
    </row>
    <row r="323">
      <c r="C323" s="504"/>
      <c r="E323" s="504"/>
      <c r="G323" s="504"/>
    </row>
    <row r="324">
      <c r="C324" s="504"/>
      <c r="E324" s="504"/>
      <c r="G324" s="504"/>
    </row>
    <row r="325">
      <c r="C325" s="504"/>
      <c r="E325" s="504"/>
      <c r="G325" s="504"/>
    </row>
    <row r="326">
      <c r="C326" s="504"/>
      <c r="E326" s="504"/>
      <c r="G326" s="504"/>
    </row>
    <row r="327">
      <c r="C327" s="504"/>
      <c r="E327" s="504"/>
      <c r="G327" s="504"/>
    </row>
    <row r="328">
      <c r="C328" s="504"/>
      <c r="E328" s="504"/>
      <c r="G328" s="504"/>
    </row>
    <row r="329">
      <c r="C329" s="504"/>
      <c r="E329" s="504"/>
      <c r="G329" s="504"/>
    </row>
    <row r="330">
      <c r="C330" s="504"/>
      <c r="E330" s="504"/>
      <c r="G330" s="504"/>
    </row>
    <row r="331">
      <c r="C331" s="504"/>
      <c r="E331" s="504"/>
      <c r="G331" s="504"/>
    </row>
    <row r="332">
      <c r="C332" s="504"/>
      <c r="E332" s="504"/>
      <c r="G332" s="504"/>
    </row>
    <row r="333">
      <c r="C333" s="504"/>
      <c r="E333" s="504"/>
      <c r="G333" s="504"/>
    </row>
    <row r="334">
      <c r="C334" s="504"/>
      <c r="E334" s="504"/>
      <c r="G334" s="504"/>
    </row>
    <row r="335">
      <c r="C335" s="504"/>
      <c r="E335" s="504"/>
      <c r="G335" s="504"/>
    </row>
    <row r="336">
      <c r="C336" s="504"/>
      <c r="E336" s="504"/>
      <c r="G336" s="504"/>
    </row>
    <row r="337">
      <c r="C337" s="504"/>
      <c r="E337" s="504"/>
      <c r="G337" s="504"/>
    </row>
    <row r="338">
      <c r="C338" s="504"/>
      <c r="E338" s="504"/>
      <c r="G338" s="504"/>
    </row>
    <row r="339">
      <c r="C339" s="504"/>
      <c r="E339" s="504"/>
      <c r="G339" s="504"/>
    </row>
    <row r="340">
      <c r="C340" s="504"/>
      <c r="E340" s="504"/>
      <c r="G340" s="504"/>
    </row>
    <row r="341">
      <c r="C341" s="504"/>
      <c r="E341" s="504"/>
      <c r="G341" s="504"/>
    </row>
    <row r="342">
      <c r="C342" s="504"/>
      <c r="E342" s="504"/>
      <c r="G342" s="504"/>
    </row>
    <row r="343">
      <c r="C343" s="504"/>
      <c r="E343" s="504"/>
      <c r="G343" s="504"/>
    </row>
    <row r="344">
      <c r="C344" s="504"/>
      <c r="E344" s="504"/>
      <c r="G344" s="504"/>
    </row>
    <row r="345">
      <c r="C345" s="504"/>
      <c r="E345" s="504"/>
      <c r="G345" s="504"/>
    </row>
    <row r="346">
      <c r="C346" s="504"/>
      <c r="E346" s="504"/>
      <c r="G346" s="504"/>
    </row>
    <row r="347">
      <c r="C347" s="504"/>
      <c r="E347" s="504"/>
      <c r="G347" s="504"/>
    </row>
    <row r="348">
      <c r="C348" s="504"/>
      <c r="E348" s="504"/>
      <c r="G348" s="504"/>
    </row>
    <row r="349">
      <c r="C349" s="504"/>
      <c r="E349" s="504"/>
      <c r="G349" s="504"/>
    </row>
    <row r="350">
      <c r="C350" s="504"/>
      <c r="E350" s="504"/>
      <c r="G350" s="504"/>
    </row>
    <row r="351">
      <c r="C351" s="504"/>
      <c r="E351" s="504"/>
      <c r="G351" s="504"/>
    </row>
    <row r="352">
      <c r="C352" s="504"/>
      <c r="E352" s="504"/>
      <c r="G352" s="504"/>
    </row>
    <row r="353">
      <c r="C353" s="504"/>
      <c r="E353" s="504"/>
      <c r="G353" s="504"/>
    </row>
    <row r="354">
      <c r="C354" s="504"/>
      <c r="E354" s="504"/>
      <c r="G354" s="504"/>
    </row>
    <row r="355">
      <c r="C355" s="504"/>
      <c r="E355" s="504"/>
      <c r="G355" s="504"/>
    </row>
    <row r="356">
      <c r="C356" s="504"/>
      <c r="E356" s="504"/>
      <c r="G356" s="504"/>
    </row>
    <row r="357">
      <c r="C357" s="504"/>
      <c r="E357" s="504"/>
      <c r="G357" s="504"/>
    </row>
    <row r="358">
      <c r="C358" s="504"/>
      <c r="E358" s="504"/>
      <c r="G358" s="504"/>
    </row>
    <row r="359">
      <c r="C359" s="504"/>
      <c r="E359" s="504"/>
      <c r="G359" s="504"/>
    </row>
    <row r="360">
      <c r="C360" s="504"/>
      <c r="E360" s="504"/>
      <c r="G360" s="504"/>
    </row>
    <row r="361">
      <c r="C361" s="504"/>
      <c r="E361" s="504"/>
      <c r="G361" s="504"/>
    </row>
    <row r="362">
      <c r="C362" s="504"/>
      <c r="E362" s="504"/>
      <c r="G362" s="504"/>
    </row>
    <row r="363">
      <c r="C363" s="504"/>
      <c r="E363" s="504"/>
      <c r="G363" s="504"/>
    </row>
    <row r="364">
      <c r="C364" s="504"/>
      <c r="E364" s="504"/>
      <c r="G364" s="504"/>
    </row>
    <row r="365">
      <c r="C365" s="504"/>
      <c r="E365" s="504"/>
      <c r="G365" s="504"/>
    </row>
    <row r="366">
      <c r="C366" s="504"/>
      <c r="E366" s="504"/>
      <c r="G366" s="504"/>
    </row>
    <row r="367">
      <c r="C367" s="504"/>
      <c r="E367" s="504"/>
      <c r="G367" s="504"/>
    </row>
    <row r="368">
      <c r="C368" s="504"/>
      <c r="E368" s="504"/>
      <c r="G368" s="504"/>
    </row>
    <row r="369">
      <c r="C369" s="504"/>
      <c r="E369" s="504"/>
      <c r="G369" s="504"/>
    </row>
    <row r="370">
      <c r="C370" s="504"/>
      <c r="E370" s="504"/>
      <c r="G370" s="504"/>
    </row>
    <row r="371">
      <c r="C371" s="504"/>
      <c r="E371" s="504"/>
      <c r="G371" s="504"/>
    </row>
    <row r="372">
      <c r="C372" s="504"/>
      <c r="E372" s="504"/>
      <c r="G372" s="504"/>
    </row>
    <row r="373">
      <c r="C373" s="504"/>
      <c r="E373" s="504"/>
      <c r="G373" s="504"/>
    </row>
    <row r="374">
      <c r="C374" s="504"/>
      <c r="E374" s="504"/>
      <c r="G374" s="504"/>
    </row>
    <row r="375">
      <c r="C375" s="504"/>
      <c r="E375" s="504"/>
      <c r="G375" s="504"/>
    </row>
    <row r="376">
      <c r="C376" s="504"/>
      <c r="E376" s="504"/>
      <c r="G376" s="504"/>
    </row>
    <row r="377">
      <c r="C377" s="504"/>
      <c r="E377" s="504"/>
      <c r="G377" s="504"/>
    </row>
    <row r="378">
      <c r="C378" s="504"/>
      <c r="E378" s="504"/>
      <c r="G378" s="504"/>
    </row>
    <row r="379">
      <c r="C379" s="504"/>
      <c r="E379" s="504"/>
      <c r="G379" s="504"/>
    </row>
    <row r="380">
      <c r="C380" s="504"/>
      <c r="E380" s="504"/>
      <c r="G380" s="504"/>
    </row>
    <row r="381">
      <c r="C381" s="504"/>
      <c r="E381" s="504"/>
      <c r="G381" s="504"/>
    </row>
    <row r="382">
      <c r="C382" s="504"/>
      <c r="E382" s="504"/>
      <c r="G382" s="504"/>
    </row>
    <row r="383">
      <c r="C383" s="504"/>
      <c r="E383" s="504"/>
      <c r="G383" s="504"/>
    </row>
    <row r="384">
      <c r="C384" s="504"/>
      <c r="E384" s="504"/>
      <c r="G384" s="504"/>
    </row>
    <row r="385">
      <c r="C385" s="504"/>
      <c r="E385" s="504"/>
      <c r="G385" s="504"/>
    </row>
    <row r="386">
      <c r="C386" s="504"/>
      <c r="E386" s="504"/>
      <c r="G386" s="504"/>
    </row>
    <row r="387">
      <c r="C387" s="504"/>
      <c r="E387" s="504"/>
      <c r="G387" s="504"/>
    </row>
    <row r="388">
      <c r="C388" s="504"/>
      <c r="E388" s="504"/>
      <c r="G388" s="504"/>
    </row>
    <row r="389">
      <c r="C389" s="504"/>
      <c r="E389" s="504"/>
      <c r="G389" s="504"/>
    </row>
    <row r="390">
      <c r="C390" s="504"/>
      <c r="E390" s="504"/>
      <c r="G390" s="504"/>
    </row>
    <row r="391">
      <c r="C391" s="504"/>
      <c r="E391" s="504"/>
      <c r="G391" s="504"/>
    </row>
    <row r="392">
      <c r="C392" s="504"/>
      <c r="E392" s="504"/>
      <c r="G392" s="504"/>
    </row>
    <row r="393">
      <c r="C393" s="504"/>
      <c r="E393" s="504"/>
      <c r="G393" s="504"/>
    </row>
    <row r="394">
      <c r="C394" s="504"/>
      <c r="E394" s="504"/>
      <c r="G394" s="504"/>
    </row>
    <row r="395">
      <c r="C395" s="504"/>
      <c r="E395" s="504"/>
      <c r="G395" s="504"/>
    </row>
    <row r="396">
      <c r="C396" s="504"/>
      <c r="E396" s="504"/>
      <c r="G396" s="504"/>
    </row>
    <row r="397">
      <c r="C397" s="504"/>
      <c r="E397" s="504"/>
      <c r="G397" s="504"/>
    </row>
    <row r="398">
      <c r="C398" s="504"/>
      <c r="E398" s="504"/>
      <c r="G398" s="504"/>
    </row>
    <row r="399">
      <c r="C399" s="504"/>
      <c r="E399" s="504"/>
      <c r="G399" s="504"/>
    </row>
    <row r="400">
      <c r="C400" s="504"/>
      <c r="E400" s="504"/>
      <c r="G400" s="504"/>
    </row>
    <row r="401">
      <c r="C401" s="504"/>
      <c r="E401" s="504"/>
      <c r="G401" s="504"/>
    </row>
    <row r="402">
      <c r="C402" s="504"/>
      <c r="E402" s="504"/>
      <c r="G402" s="504"/>
    </row>
    <row r="403">
      <c r="C403" s="504"/>
      <c r="E403" s="504"/>
      <c r="G403" s="504"/>
    </row>
    <row r="404">
      <c r="C404" s="504"/>
      <c r="E404" s="504"/>
      <c r="G404" s="504"/>
    </row>
    <row r="405">
      <c r="C405" s="504"/>
      <c r="E405" s="504"/>
      <c r="G405" s="504"/>
    </row>
    <row r="406">
      <c r="C406" s="504"/>
      <c r="E406" s="504"/>
      <c r="G406" s="504"/>
    </row>
    <row r="407">
      <c r="C407" s="504"/>
      <c r="E407" s="504"/>
      <c r="G407" s="504"/>
    </row>
    <row r="408">
      <c r="C408" s="504"/>
      <c r="E408" s="504"/>
      <c r="G408" s="504"/>
    </row>
    <row r="409">
      <c r="C409" s="504"/>
      <c r="E409" s="504"/>
      <c r="G409" s="504"/>
    </row>
    <row r="410">
      <c r="C410" s="504"/>
      <c r="E410" s="504"/>
      <c r="G410" s="504"/>
    </row>
    <row r="411">
      <c r="C411" s="504"/>
      <c r="E411" s="504"/>
      <c r="G411" s="504"/>
    </row>
    <row r="412">
      <c r="C412" s="504"/>
      <c r="E412" s="504"/>
      <c r="G412" s="504"/>
    </row>
    <row r="413">
      <c r="C413" s="504"/>
      <c r="E413" s="504"/>
      <c r="G413" s="504"/>
    </row>
    <row r="414">
      <c r="C414" s="504"/>
      <c r="E414" s="504"/>
      <c r="G414" s="504"/>
    </row>
    <row r="415">
      <c r="C415" s="504"/>
      <c r="E415" s="504"/>
      <c r="G415" s="504"/>
    </row>
    <row r="416">
      <c r="C416" s="504"/>
      <c r="E416" s="504"/>
      <c r="G416" s="504"/>
    </row>
    <row r="417">
      <c r="C417" s="504"/>
      <c r="E417" s="504"/>
      <c r="G417" s="504"/>
    </row>
    <row r="418">
      <c r="C418" s="504"/>
      <c r="E418" s="504"/>
      <c r="G418" s="504"/>
    </row>
    <row r="419">
      <c r="C419" s="504"/>
      <c r="E419" s="504"/>
      <c r="G419" s="504"/>
    </row>
    <row r="420">
      <c r="C420" s="504"/>
      <c r="E420" s="504"/>
      <c r="G420" s="504"/>
    </row>
    <row r="421">
      <c r="C421" s="504"/>
      <c r="E421" s="504"/>
      <c r="G421" s="504"/>
    </row>
    <row r="422">
      <c r="C422" s="504"/>
      <c r="E422" s="504"/>
      <c r="G422" s="504"/>
    </row>
    <row r="423">
      <c r="C423" s="504"/>
      <c r="E423" s="504"/>
      <c r="G423" s="504"/>
    </row>
    <row r="424">
      <c r="C424" s="504"/>
      <c r="E424" s="504"/>
      <c r="G424" s="504"/>
    </row>
    <row r="425">
      <c r="C425" s="504"/>
      <c r="E425" s="504"/>
      <c r="G425" s="504"/>
    </row>
    <row r="426">
      <c r="C426" s="504"/>
      <c r="E426" s="504"/>
      <c r="G426" s="504"/>
    </row>
    <row r="427">
      <c r="C427" s="504"/>
      <c r="E427" s="504"/>
      <c r="G427" s="504"/>
    </row>
    <row r="428">
      <c r="C428" s="504"/>
      <c r="E428" s="504"/>
      <c r="G428" s="504"/>
    </row>
    <row r="429">
      <c r="C429" s="504"/>
      <c r="E429" s="504"/>
      <c r="G429" s="504"/>
    </row>
    <row r="430">
      <c r="C430" s="504"/>
      <c r="E430" s="504"/>
      <c r="G430" s="504"/>
    </row>
    <row r="431">
      <c r="C431" s="504"/>
      <c r="E431" s="504"/>
      <c r="G431" s="504"/>
    </row>
    <row r="432">
      <c r="C432" s="504"/>
      <c r="E432" s="504"/>
      <c r="G432" s="504"/>
    </row>
    <row r="433">
      <c r="C433" s="504"/>
      <c r="E433" s="504"/>
      <c r="G433" s="504"/>
    </row>
    <row r="434">
      <c r="C434" s="504"/>
      <c r="E434" s="504"/>
      <c r="G434" s="504"/>
    </row>
    <row r="435">
      <c r="C435" s="504"/>
      <c r="E435" s="504"/>
      <c r="G435" s="504"/>
    </row>
    <row r="436">
      <c r="C436" s="504"/>
      <c r="E436" s="504"/>
      <c r="G436" s="504"/>
    </row>
    <row r="437">
      <c r="C437" s="504"/>
      <c r="E437" s="504"/>
      <c r="G437" s="504"/>
    </row>
    <row r="438">
      <c r="C438" s="504"/>
      <c r="E438" s="504"/>
      <c r="G438" s="504"/>
    </row>
    <row r="439">
      <c r="C439" s="504"/>
      <c r="E439" s="504"/>
      <c r="G439" s="504"/>
    </row>
    <row r="440">
      <c r="C440" s="504"/>
      <c r="E440" s="504"/>
      <c r="G440" s="504"/>
    </row>
    <row r="441">
      <c r="C441" s="504"/>
      <c r="E441" s="504"/>
      <c r="G441" s="504"/>
    </row>
    <row r="442">
      <c r="C442" s="504"/>
      <c r="E442" s="504"/>
      <c r="G442" s="504"/>
    </row>
    <row r="443">
      <c r="C443" s="504"/>
      <c r="E443" s="504"/>
      <c r="G443" s="504"/>
    </row>
    <row r="444">
      <c r="C444" s="504"/>
      <c r="E444" s="504"/>
      <c r="G444" s="504"/>
    </row>
    <row r="445">
      <c r="C445" s="504"/>
      <c r="E445" s="504"/>
      <c r="G445" s="504"/>
    </row>
    <row r="446">
      <c r="C446" s="504"/>
      <c r="E446" s="504"/>
      <c r="G446" s="504"/>
    </row>
    <row r="447">
      <c r="C447" s="504"/>
      <c r="E447" s="504"/>
      <c r="G447" s="504"/>
    </row>
    <row r="448">
      <c r="C448" s="504"/>
      <c r="E448" s="504"/>
      <c r="G448" s="504"/>
    </row>
    <row r="449">
      <c r="C449" s="504"/>
      <c r="E449" s="504"/>
      <c r="G449" s="504"/>
    </row>
    <row r="450">
      <c r="C450" s="504"/>
      <c r="E450" s="504"/>
      <c r="G450" s="504"/>
    </row>
    <row r="451">
      <c r="C451" s="504"/>
      <c r="E451" s="504"/>
      <c r="G451" s="504"/>
    </row>
    <row r="452">
      <c r="C452" s="504"/>
      <c r="E452" s="504"/>
      <c r="G452" s="504"/>
    </row>
    <row r="453">
      <c r="C453" s="504"/>
      <c r="E453" s="504"/>
      <c r="G453" s="504"/>
    </row>
    <row r="454">
      <c r="C454" s="504"/>
      <c r="E454" s="504"/>
      <c r="G454" s="504"/>
    </row>
    <row r="455">
      <c r="C455" s="504"/>
      <c r="E455" s="504"/>
      <c r="G455" s="504"/>
    </row>
    <row r="456">
      <c r="C456" s="504"/>
      <c r="E456" s="504"/>
      <c r="G456" s="504"/>
    </row>
    <row r="457">
      <c r="C457" s="504"/>
      <c r="E457" s="504"/>
      <c r="G457" s="504"/>
    </row>
    <row r="458">
      <c r="C458" s="504"/>
      <c r="E458" s="504"/>
      <c r="G458" s="504"/>
    </row>
    <row r="459">
      <c r="C459" s="504"/>
      <c r="E459" s="504"/>
      <c r="G459" s="504"/>
    </row>
    <row r="460">
      <c r="C460" s="504"/>
      <c r="E460" s="504"/>
      <c r="G460" s="504"/>
    </row>
    <row r="461">
      <c r="C461" s="504"/>
      <c r="E461" s="504"/>
      <c r="G461" s="504"/>
    </row>
    <row r="462">
      <c r="C462" s="504"/>
      <c r="E462" s="504"/>
      <c r="G462" s="504"/>
    </row>
    <row r="463">
      <c r="C463" s="504"/>
      <c r="E463" s="504"/>
      <c r="G463" s="504"/>
    </row>
    <row r="464">
      <c r="C464" s="504"/>
      <c r="E464" s="504"/>
      <c r="G464" s="504"/>
    </row>
    <row r="465">
      <c r="C465" s="504"/>
      <c r="E465" s="504"/>
      <c r="G465" s="504"/>
    </row>
    <row r="466">
      <c r="C466" s="504"/>
      <c r="E466" s="504"/>
      <c r="G466" s="504"/>
    </row>
    <row r="467">
      <c r="C467" s="504"/>
      <c r="E467" s="504"/>
      <c r="G467" s="504"/>
    </row>
    <row r="468">
      <c r="C468" s="504"/>
      <c r="E468" s="504"/>
      <c r="G468" s="504"/>
    </row>
    <row r="469">
      <c r="C469" s="504"/>
      <c r="E469" s="504"/>
      <c r="G469" s="504"/>
    </row>
    <row r="470">
      <c r="C470" s="504"/>
      <c r="E470" s="504"/>
      <c r="G470" s="504"/>
    </row>
    <row r="471">
      <c r="C471" s="504"/>
      <c r="E471" s="504"/>
      <c r="G471" s="504"/>
    </row>
    <row r="472">
      <c r="C472" s="504"/>
      <c r="E472" s="504"/>
      <c r="G472" s="504"/>
    </row>
    <row r="473">
      <c r="C473" s="504"/>
      <c r="E473" s="504"/>
      <c r="G473" s="504"/>
    </row>
    <row r="474">
      <c r="C474" s="504"/>
      <c r="E474" s="504"/>
      <c r="G474" s="504"/>
    </row>
    <row r="475">
      <c r="C475" s="504"/>
      <c r="E475" s="504"/>
      <c r="G475" s="504"/>
    </row>
    <row r="476">
      <c r="C476" s="504"/>
      <c r="E476" s="504"/>
      <c r="G476" s="504"/>
    </row>
    <row r="477">
      <c r="C477" s="504"/>
      <c r="E477" s="504"/>
      <c r="G477" s="504"/>
    </row>
    <row r="478">
      <c r="C478" s="504"/>
      <c r="E478" s="504"/>
      <c r="G478" s="504"/>
    </row>
    <row r="479">
      <c r="C479" s="504"/>
      <c r="E479" s="504"/>
      <c r="G479" s="504"/>
    </row>
    <row r="480">
      <c r="C480" s="504"/>
      <c r="E480" s="504"/>
      <c r="G480" s="504"/>
    </row>
    <row r="481">
      <c r="C481" s="504"/>
      <c r="E481" s="504"/>
      <c r="G481" s="504"/>
    </row>
    <row r="482">
      <c r="C482" s="504"/>
      <c r="E482" s="504"/>
      <c r="G482" s="504"/>
    </row>
    <row r="483">
      <c r="C483" s="504"/>
      <c r="E483" s="504"/>
      <c r="G483" s="504"/>
    </row>
    <row r="484">
      <c r="C484" s="504"/>
      <c r="E484" s="504"/>
      <c r="G484" s="504"/>
    </row>
    <row r="485">
      <c r="C485" s="504"/>
      <c r="E485" s="504"/>
      <c r="G485" s="504"/>
    </row>
    <row r="486">
      <c r="C486" s="504"/>
      <c r="E486" s="504"/>
      <c r="G486" s="504"/>
    </row>
    <row r="487">
      <c r="C487" s="504"/>
      <c r="E487" s="504"/>
      <c r="G487" s="504"/>
    </row>
    <row r="488">
      <c r="C488" s="504"/>
      <c r="E488" s="504"/>
      <c r="G488" s="504"/>
    </row>
    <row r="489">
      <c r="C489" s="504"/>
      <c r="E489" s="504"/>
      <c r="G489" s="504"/>
    </row>
    <row r="490">
      <c r="C490" s="504"/>
      <c r="E490" s="504"/>
      <c r="G490" s="504"/>
    </row>
    <row r="491">
      <c r="C491" s="504"/>
      <c r="E491" s="504"/>
      <c r="G491" s="504"/>
    </row>
    <row r="492">
      <c r="C492" s="504"/>
      <c r="E492" s="504"/>
      <c r="G492" s="504"/>
    </row>
    <row r="493">
      <c r="C493" s="504"/>
      <c r="E493" s="504"/>
      <c r="G493" s="504"/>
    </row>
    <row r="494">
      <c r="C494" s="504"/>
      <c r="E494" s="504"/>
      <c r="G494" s="504"/>
    </row>
    <row r="495">
      <c r="C495" s="504"/>
      <c r="E495" s="504"/>
      <c r="G495" s="504"/>
    </row>
    <row r="496">
      <c r="C496" s="504"/>
      <c r="E496" s="504"/>
      <c r="G496" s="504"/>
    </row>
    <row r="497">
      <c r="C497" s="504"/>
      <c r="E497" s="504"/>
      <c r="G497" s="504"/>
    </row>
    <row r="498">
      <c r="C498" s="504"/>
      <c r="E498" s="504"/>
      <c r="G498" s="504"/>
    </row>
    <row r="499">
      <c r="C499" s="504"/>
      <c r="E499" s="504"/>
      <c r="G499" s="504"/>
    </row>
    <row r="500">
      <c r="C500" s="504"/>
      <c r="E500" s="504"/>
      <c r="G500" s="504"/>
    </row>
    <row r="501">
      <c r="C501" s="504"/>
      <c r="E501" s="504"/>
      <c r="G501" s="504"/>
    </row>
    <row r="502">
      <c r="C502" s="504"/>
      <c r="E502" s="504"/>
      <c r="G502" s="504"/>
    </row>
    <row r="503">
      <c r="C503" s="504"/>
      <c r="E503" s="504"/>
      <c r="G503" s="504"/>
    </row>
    <row r="504">
      <c r="C504" s="504"/>
      <c r="E504" s="504"/>
      <c r="G504" s="504"/>
    </row>
    <row r="505">
      <c r="C505" s="504"/>
      <c r="E505" s="504"/>
      <c r="G505" s="504"/>
    </row>
    <row r="506">
      <c r="C506" s="504"/>
      <c r="E506" s="504"/>
      <c r="G506" s="504"/>
    </row>
    <row r="507">
      <c r="C507" s="504"/>
      <c r="E507" s="504"/>
      <c r="G507" s="504"/>
    </row>
    <row r="508">
      <c r="C508" s="504"/>
      <c r="E508" s="504"/>
      <c r="G508" s="504"/>
    </row>
    <row r="509">
      <c r="C509" s="504"/>
      <c r="E509" s="504"/>
      <c r="G509" s="504"/>
    </row>
    <row r="510">
      <c r="C510" s="504"/>
      <c r="E510" s="504"/>
      <c r="G510" s="504"/>
    </row>
    <row r="511">
      <c r="C511" s="504"/>
      <c r="E511" s="504"/>
      <c r="G511" s="504"/>
    </row>
    <row r="512">
      <c r="C512" s="504"/>
      <c r="E512" s="504"/>
      <c r="G512" s="504"/>
    </row>
    <row r="513">
      <c r="C513" s="504"/>
      <c r="E513" s="504"/>
      <c r="G513" s="504"/>
    </row>
    <row r="514">
      <c r="C514" s="504"/>
      <c r="E514" s="504"/>
      <c r="G514" s="504"/>
    </row>
    <row r="515">
      <c r="C515" s="504"/>
      <c r="E515" s="504"/>
      <c r="G515" s="504"/>
    </row>
    <row r="516">
      <c r="C516" s="504"/>
      <c r="E516" s="504"/>
      <c r="G516" s="504"/>
    </row>
    <row r="517">
      <c r="C517" s="504"/>
      <c r="E517" s="504"/>
      <c r="G517" s="504"/>
    </row>
    <row r="518">
      <c r="C518" s="504"/>
      <c r="E518" s="504"/>
      <c r="G518" s="504"/>
    </row>
    <row r="519">
      <c r="C519" s="504"/>
      <c r="E519" s="504"/>
      <c r="G519" s="504"/>
    </row>
    <row r="520">
      <c r="C520" s="504"/>
      <c r="E520" s="504"/>
      <c r="G520" s="504"/>
    </row>
    <row r="521">
      <c r="C521" s="504"/>
      <c r="E521" s="504"/>
      <c r="G521" s="504"/>
    </row>
    <row r="522">
      <c r="C522" s="504"/>
      <c r="E522" s="504"/>
      <c r="G522" s="504"/>
    </row>
    <row r="523">
      <c r="C523" s="504"/>
      <c r="E523" s="504"/>
      <c r="G523" s="504"/>
    </row>
    <row r="524">
      <c r="C524" s="504"/>
      <c r="E524" s="504"/>
      <c r="G524" s="504"/>
    </row>
    <row r="525">
      <c r="C525" s="504"/>
      <c r="E525" s="504"/>
      <c r="G525" s="504"/>
    </row>
    <row r="526">
      <c r="C526" s="504"/>
      <c r="E526" s="504"/>
      <c r="G526" s="504"/>
    </row>
    <row r="527">
      <c r="C527" s="504"/>
      <c r="E527" s="504"/>
      <c r="G527" s="504"/>
    </row>
    <row r="528">
      <c r="C528" s="504"/>
      <c r="E528" s="504"/>
      <c r="G528" s="504"/>
    </row>
    <row r="529">
      <c r="C529" s="504"/>
      <c r="E529" s="504"/>
      <c r="G529" s="504"/>
    </row>
    <row r="530">
      <c r="C530" s="504"/>
      <c r="E530" s="504"/>
      <c r="G530" s="504"/>
    </row>
    <row r="531">
      <c r="C531" s="504"/>
      <c r="E531" s="504"/>
      <c r="G531" s="504"/>
    </row>
    <row r="532">
      <c r="C532" s="504"/>
      <c r="E532" s="504"/>
      <c r="G532" s="504"/>
    </row>
    <row r="533">
      <c r="C533" s="504"/>
      <c r="E533" s="504"/>
      <c r="G533" s="504"/>
    </row>
    <row r="534">
      <c r="C534" s="504"/>
      <c r="E534" s="504"/>
      <c r="G534" s="504"/>
    </row>
    <row r="535">
      <c r="C535" s="504"/>
      <c r="E535" s="504"/>
      <c r="G535" s="504"/>
    </row>
    <row r="536">
      <c r="C536" s="504"/>
      <c r="E536" s="504"/>
      <c r="G536" s="504"/>
    </row>
    <row r="537">
      <c r="C537" s="504"/>
      <c r="E537" s="504"/>
      <c r="G537" s="504"/>
    </row>
    <row r="538">
      <c r="C538" s="504"/>
      <c r="E538" s="504"/>
      <c r="G538" s="504"/>
    </row>
    <row r="539">
      <c r="C539" s="504"/>
      <c r="E539" s="504"/>
      <c r="G539" s="504"/>
    </row>
    <row r="540">
      <c r="C540" s="504"/>
      <c r="E540" s="504"/>
      <c r="G540" s="504"/>
    </row>
    <row r="541">
      <c r="C541" s="504"/>
      <c r="E541" s="504"/>
      <c r="G541" s="504"/>
    </row>
    <row r="542">
      <c r="C542" s="504"/>
      <c r="E542" s="504"/>
      <c r="G542" s="504"/>
    </row>
    <row r="543">
      <c r="C543" s="504"/>
      <c r="E543" s="504"/>
      <c r="G543" s="504"/>
    </row>
    <row r="544">
      <c r="C544" s="504"/>
      <c r="E544" s="504"/>
      <c r="G544" s="504"/>
    </row>
    <row r="545">
      <c r="C545" s="504"/>
      <c r="E545" s="504"/>
      <c r="G545" s="504"/>
    </row>
    <row r="546">
      <c r="C546" s="504"/>
      <c r="E546" s="504"/>
      <c r="G546" s="504"/>
    </row>
    <row r="547">
      <c r="C547" s="504"/>
      <c r="E547" s="504"/>
      <c r="G547" s="504"/>
    </row>
    <row r="548">
      <c r="C548" s="504"/>
      <c r="E548" s="504"/>
      <c r="G548" s="504"/>
    </row>
    <row r="549">
      <c r="C549" s="504"/>
      <c r="E549" s="504"/>
      <c r="G549" s="504"/>
    </row>
    <row r="550">
      <c r="C550" s="504"/>
      <c r="E550" s="504"/>
      <c r="G550" s="504"/>
    </row>
    <row r="551">
      <c r="C551" s="504"/>
      <c r="E551" s="504"/>
      <c r="G551" s="504"/>
    </row>
    <row r="552">
      <c r="C552" s="504"/>
      <c r="E552" s="504"/>
      <c r="G552" s="504"/>
    </row>
    <row r="553">
      <c r="C553" s="504"/>
      <c r="E553" s="504"/>
      <c r="G553" s="504"/>
    </row>
    <row r="554">
      <c r="C554" s="504"/>
      <c r="E554" s="504"/>
      <c r="G554" s="504"/>
    </row>
    <row r="555">
      <c r="C555" s="504"/>
      <c r="E555" s="504"/>
      <c r="G555" s="504"/>
    </row>
    <row r="556">
      <c r="C556" s="504"/>
      <c r="E556" s="504"/>
      <c r="G556" s="504"/>
    </row>
    <row r="557">
      <c r="C557" s="504"/>
      <c r="E557" s="504"/>
      <c r="G557" s="504"/>
    </row>
    <row r="558">
      <c r="C558" s="504"/>
      <c r="E558" s="504"/>
      <c r="G558" s="504"/>
    </row>
    <row r="559">
      <c r="C559" s="504"/>
      <c r="E559" s="504"/>
      <c r="G559" s="504"/>
    </row>
    <row r="560">
      <c r="C560" s="504"/>
      <c r="E560" s="504"/>
      <c r="G560" s="504"/>
    </row>
    <row r="561">
      <c r="C561" s="504"/>
      <c r="E561" s="504"/>
      <c r="G561" s="504"/>
    </row>
    <row r="562">
      <c r="C562" s="504"/>
      <c r="E562" s="504"/>
      <c r="G562" s="504"/>
    </row>
    <row r="563">
      <c r="C563" s="504"/>
      <c r="E563" s="504"/>
      <c r="G563" s="504"/>
    </row>
    <row r="564">
      <c r="C564" s="504"/>
      <c r="E564" s="504"/>
      <c r="G564" s="504"/>
    </row>
    <row r="565">
      <c r="C565" s="504"/>
      <c r="E565" s="504"/>
      <c r="G565" s="504"/>
    </row>
    <row r="566">
      <c r="C566" s="504"/>
      <c r="E566" s="504"/>
      <c r="G566" s="504"/>
    </row>
    <row r="567">
      <c r="C567" s="504"/>
      <c r="E567" s="504"/>
      <c r="G567" s="504"/>
    </row>
    <row r="568">
      <c r="C568" s="504"/>
      <c r="E568" s="504"/>
      <c r="G568" s="504"/>
    </row>
    <row r="569">
      <c r="C569" s="504"/>
      <c r="E569" s="504"/>
      <c r="G569" s="504"/>
    </row>
    <row r="570">
      <c r="C570" s="504"/>
      <c r="E570" s="504"/>
      <c r="G570" s="504"/>
    </row>
    <row r="571">
      <c r="C571" s="504"/>
      <c r="E571" s="504"/>
      <c r="G571" s="504"/>
    </row>
    <row r="572">
      <c r="C572" s="504"/>
      <c r="E572" s="504"/>
      <c r="G572" s="504"/>
    </row>
    <row r="573">
      <c r="C573" s="504"/>
      <c r="E573" s="504"/>
      <c r="G573" s="504"/>
    </row>
    <row r="574">
      <c r="C574" s="504"/>
      <c r="E574" s="504"/>
      <c r="G574" s="504"/>
    </row>
    <row r="575">
      <c r="C575" s="504"/>
      <c r="E575" s="504"/>
      <c r="G575" s="504"/>
    </row>
    <row r="576">
      <c r="C576" s="504"/>
      <c r="E576" s="504"/>
      <c r="G576" s="504"/>
    </row>
    <row r="577">
      <c r="C577" s="504"/>
      <c r="E577" s="504"/>
      <c r="G577" s="504"/>
    </row>
    <row r="578">
      <c r="C578" s="504"/>
      <c r="E578" s="504"/>
      <c r="G578" s="504"/>
    </row>
    <row r="579">
      <c r="C579" s="504"/>
      <c r="E579" s="504"/>
      <c r="G579" s="504"/>
    </row>
    <row r="580">
      <c r="C580" s="504"/>
      <c r="E580" s="504"/>
      <c r="G580" s="504"/>
    </row>
    <row r="581">
      <c r="C581" s="504"/>
      <c r="E581" s="504"/>
      <c r="G581" s="504"/>
    </row>
    <row r="582">
      <c r="C582" s="504"/>
      <c r="E582" s="504"/>
      <c r="G582" s="504"/>
    </row>
    <row r="583">
      <c r="C583" s="504"/>
      <c r="E583" s="504"/>
      <c r="G583" s="504"/>
    </row>
    <row r="584">
      <c r="C584" s="504"/>
      <c r="E584" s="504"/>
      <c r="G584" s="504"/>
    </row>
    <row r="585">
      <c r="C585" s="504"/>
      <c r="E585" s="504"/>
      <c r="G585" s="504"/>
    </row>
    <row r="586">
      <c r="C586" s="504"/>
      <c r="E586" s="504"/>
      <c r="G586" s="504"/>
    </row>
    <row r="587">
      <c r="C587" s="504"/>
      <c r="E587" s="504"/>
      <c r="G587" s="504"/>
    </row>
    <row r="588">
      <c r="C588" s="504"/>
      <c r="E588" s="504"/>
      <c r="G588" s="504"/>
    </row>
    <row r="589">
      <c r="C589" s="504"/>
      <c r="E589" s="504"/>
      <c r="G589" s="504"/>
    </row>
    <row r="590">
      <c r="C590" s="504"/>
      <c r="E590" s="504"/>
      <c r="G590" s="504"/>
    </row>
    <row r="591">
      <c r="C591" s="504"/>
      <c r="E591" s="504"/>
      <c r="G591" s="504"/>
    </row>
    <row r="592">
      <c r="C592" s="504"/>
      <c r="E592" s="504"/>
      <c r="G592" s="504"/>
    </row>
    <row r="593">
      <c r="C593" s="504"/>
      <c r="E593" s="504"/>
      <c r="G593" s="504"/>
    </row>
    <row r="594">
      <c r="C594" s="504"/>
      <c r="E594" s="504"/>
      <c r="G594" s="504"/>
    </row>
    <row r="595">
      <c r="C595" s="504"/>
      <c r="E595" s="504"/>
      <c r="G595" s="504"/>
    </row>
    <row r="596">
      <c r="C596" s="504"/>
      <c r="E596" s="504"/>
      <c r="G596" s="504"/>
    </row>
    <row r="597">
      <c r="C597" s="504"/>
      <c r="E597" s="504"/>
      <c r="G597" s="504"/>
    </row>
    <row r="598">
      <c r="C598" s="504"/>
      <c r="E598" s="504"/>
      <c r="G598" s="504"/>
    </row>
    <row r="599">
      <c r="C599" s="504"/>
      <c r="E599" s="504"/>
      <c r="G599" s="504"/>
    </row>
    <row r="600">
      <c r="C600" s="504"/>
      <c r="E600" s="504"/>
      <c r="G600" s="504"/>
    </row>
    <row r="601">
      <c r="C601" s="504"/>
      <c r="E601" s="504"/>
      <c r="G601" s="504"/>
    </row>
    <row r="602">
      <c r="C602" s="504"/>
      <c r="E602" s="504"/>
      <c r="G602" s="504"/>
    </row>
    <row r="603">
      <c r="C603" s="504"/>
      <c r="E603" s="504"/>
      <c r="G603" s="504"/>
    </row>
    <row r="604">
      <c r="C604" s="504"/>
      <c r="E604" s="504"/>
      <c r="G604" s="504"/>
    </row>
    <row r="605">
      <c r="C605" s="504"/>
      <c r="E605" s="504"/>
      <c r="G605" s="504"/>
    </row>
    <row r="606">
      <c r="C606" s="504"/>
      <c r="E606" s="504"/>
      <c r="G606" s="504"/>
    </row>
    <row r="607">
      <c r="C607" s="504"/>
      <c r="E607" s="504"/>
      <c r="G607" s="504"/>
    </row>
    <row r="608">
      <c r="C608" s="504"/>
      <c r="E608" s="504"/>
      <c r="G608" s="504"/>
    </row>
    <row r="609">
      <c r="C609" s="504"/>
      <c r="E609" s="504"/>
      <c r="G609" s="504"/>
    </row>
    <row r="610">
      <c r="C610" s="504"/>
      <c r="E610" s="504"/>
      <c r="G610" s="504"/>
    </row>
    <row r="611">
      <c r="C611" s="504"/>
      <c r="E611" s="504"/>
      <c r="G611" s="504"/>
    </row>
    <row r="612">
      <c r="C612" s="504"/>
      <c r="E612" s="504"/>
      <c r="G612" s="504"/>
    </row>
    <row r="613">
      <c r="C613" s="504"/>
      <c r="E613" s="504"/>
      <c r="G613" s="504"/>
    </row>
    <row r="614">
      <c r="C614" s="504"/>
      <c r="E614" s="504"/>
      <c r="G614" s="504"/>
    </row>
    <row r="615">
      <c r="C615" s="504"/>
      <c r="E615" s="504"/>
      <c r="G615" s="504"/>
    </row>
    <row r="616">
      <c r="C616" s="504"/>
      <c r="E616" s="504"/>
      <c r="G616" s="504"/>
    </row>
    <row r="617">
      <c r="C617" s="504"/>
      <c r="E617" s="504"/>
      <c r="G617" s="504"/>
    </row>
    <row r="618">
      <c r="C618" s="504"/>
      <c r="E618" s="504"/>
      <c r="G618" s="504"/>
    </row>
    <row r="619">
      <c r="C619" s="504"/>
      <c r="E619" s="504"/>
      <c r="G619" s="504"/>
    </row>
    <row r="620">
      <c r="C620" s="504"/>
      <c r="E620" s="504"/>
      <c r="G620" s="504"/>
    </row>
    <row r="621">
      <c r="C621" s="504"/>
      <c r="E621" s="504"/>
      <c r="G621" s="504"/>
    </row>
    <row r="622">
      <c r="C622" s="504"/>
      <c r="E622" s="504"/>
      <c r="G622" s="504"/>
    </row>
    <row r="623">
      <c r="C623" s="504"/>
      <c r="E623" s="504"/>
      <c r="G623" s="504"/>
    </row>
    <row r="624">
      <c r="C624" s="504"/>
      <c r="E624" s="504"/>
      <c r="G624" s="504"/>
    </row>
    <row r="625">
      <c r="C625" s="504"/>
      <c r="E625" s="504"/>
      <c r="G625" s="504"/>
    </row>
    <row r="626">
      <c r="C626" s="504"/>
      <c r="E626" s="504"/>
      <c r="G626" s="504"/>
    </row>
    <row r="627">
      <c r="C627" s="504"/>
      <c r="E627" s="504"/>
      <c r="G627" s="504"/>
    </row>
    <row r="628">
      <c r="C628" s="504"/>
      <c r="E628" s="504"/>
      <c r="G628" s="504"/>
    </row>
    <row r="629">
      <c r="C629" s="504"/>
      <c r="E629" s="504"/>
      <c r="G629" s="504"/>
    </row>
    <row r="630">
      <c r="C630" s="504"/>
      <c r="E630" s="504"/>
      <c r="G630" s="504"/>
    </row>
    <row r="631">
      <c r="C631" s="504"/>
      <c r="E631" s="504"/>
      <c r="G631" s="504"/>
    </row>
    <row r="632">
      <c r="C632" s="504"/>
      <c r="E632" s="504"/>
      <c r="G632" s="504"/>
    </row>
    <row r="633">
      <c r="C633" s="504"/>
      <c r="E633" s="504"/>
      <c r="G633" s="504"/>
    </row>
    <row r="634">
      <c r="C634" s="504"/>
      <c r="E634" s="504"/>
      <c r="G634" s="504"/>
    </row>
    <row r="635">
      <c r="C635" s="504"/>
      <c r="E635" s="504"/>
      <c r="G635" s="504"/>
    </row>
    <row r="636">
      <c r="C636" s="504"/>
      <c r="E636" s="504"/>
      <c r="G636" s="504"/>
    </row>
    <row r="637">
      <c r="C637" s="504"/>
      <c r="E637" s="504"/>
      <c r="G637" s="504"/>
    </row>
    <row r="638">
      <c r="C638" s="504"/>
      <c r="E638" s="504"/>
      <c r="G638" s="504"/>
    </row>
    <row r="639">
      <c r="C639" s="504"/>
      <c r="E639" s="504"/>
      <c r="G639" s="504"/>
    </row>
    <row r="640">
      <c r="C640" s="504"/>
      <c r="E640" s="504"/>
      <c r="G640" s="504"/>
    </row>
    <row r="641">
      <c r="C641" s="504"/>
      <c r="E641" s="504"/>
      <c r="G641" s="504"/>
    </row>
    <row r="642">
      <c r="C642" s="504"/>
      <c r="E642" s="504"/>
      <c r="G642" s="504"/>
    </row>
    <row r="643">
      <c r="C643" s="504"/>
      <c r="E643" s="504"/>
      <c r="G643" s="504"/>
    </row>
    <row r="644">
      <c r="C644" s="504"/>
      <c r="E644" s="504"/>
      <c r="G644" s="504"/>
    </row>
    <row r="645">
      <c r="C645" s="504"/>
      <c r="E645" s="504"/>
      <c r="G645" s="504"/>
    </row>
    <row r="646">
      <c r="C646" s="504"/>
      <c r="E646" s="504"/>
      <c r="G646" s="504"/>
    </row>
    <row r="647">
      <c r="C647" s="504"/>
      <c r="E647" s="504"/>
      <c r="G647" s="504"/>
    </row>
    <row r="648">
      <c r="C648" s="504"/>
      <c r="E648" s="504"/>
      <c r="G648" s="504"/>
    </row>
    <row r="649">
      <c r="C649" s="504"/>
      <c r="E649" s="504"/>
      <c r="G649" s="504"/>
    </row>
    <row r="650">
      <c r="C650" s="504"/>
      <c r="E650" s="504"/>
      <c r="G650" s="504"/>
    </row>
    <row r="651">
      <c r="C651" s="504"/>
      <c r="E651" s="504"/>
      <c r="G651" s="504"/>
    </row>
    <row r="652">
      <c r="C652" s="504"/>
      <c r="E652" s="504"/>
      <c r="G652" s="504"/>
    </row>
    <row r="653">
      <c r="C653" s="504"/>
      <c r="E653" s="504"/>
      <c r="G653" s="504"/>
    </row>
    <row r="654">
      <c r="C654" s="504"/>
      <c r="E654" s="504"/>
      <c r="G654" s="504"/>
    </row>
    <row r="655">
      <c r="C655" s="504"/>
      <c r="E655" s="504"/>
      <c r="G655" s="504"/>
    </row>
    <row r="656">
      <c r="C656" s="504"/>
      <c r="E656" s="504"/>
      <c r="G656" s="504"/>
    </row>
    <row r="657">
      <c r="C657" s="504"/>
      <c r="E657" s="504"/>
      <c r="G657" s="504"/>
    </row>
    <row r="658">
      <c r="C658" s="504"/>
      <c r="E658" s="504"/>
      <c r="G658" s="504"/>
    </row>
    <row r="659">
      <c r="C659" s="504"/>
      <c r="E659" s="504"/>
      <c r="G659" s="504"/>
    </row>
    <row r="660">
      <c r="C660" s="504"/>
      <c r="E660" s="504"/>
      <c r="G660" s="504"/>
    </row>
    <row r="661">
      <c r="C661" s="504"/>
      <c r="E661" s="504"/>
      <c r="G661" s="504"/>
    </row>
    <row r="662">
      <c r="C662" s="504"/>
      <c r="E662" s="504"/>
      <c r="G662" s="504"/>
    </row>
    <row r="663">
      <c r="C663" s="504"/>
      <c r="E663" s="504"/>
      <c r="G663" s="504"/>
    </row>
    <row r="664">
      <c r="C664" s="504"/>
      <c r="E664" s="504"/>
      <c r="G664" s="504"/>
    </row>
    <row r="665">
      <c r="C665" s="504"/>
      <c r="E665" s="504"/>
      <c r="G665" s="504"/>
    </row>
    <row r="666">
      <c r="C666" s="504"/>
      <c r="E666" s="504"/>
      <c r="G666" s="504"/>
    </row>
    <row r="667">
      <c r="C667" s="504"/>
      <c r="E667" s="504"/>
      <c r="G667" s="504"/>
    </row>
    <row r="668">
      <c r="C668" s="504"/>
      <c r="E668" s="504"/>
      <c r="G668" s="504"/>
    </row>
    <row r="669">
      <c r="C669" s="504"/>
      <c r="E669" s="504"/>
      <c r="G669" s="504"/>
    </row>
    <row r="670">
      <c r="C670" s="504"/>
      <c r="E670" s="504"/>
      <c r="G670" s="504"/>
    </row>
    <row r="671">
      <c r="C671" s="504"/>
      <c r="E671" s="504"/>
      <c r="G671" s="504"/>
    </row>
    <row r="672">
      <c r="C672" s="504"/>
      <c r="E672" s="504"/>
      <c r="G672" s="504"/>
    </row>
    <row r="673">
      <c r="C673" s="504"/>
      <c r="E673" s="504"/>
      <c r="G673" s="504"/>
    </row>
    <row r="674">
      <c r="C674" s="504"/>
      <c r="E674" s="504"/>
      <c r="G674" s="504"/>
    </row>
    <row r="675">
      <c r="C675" s="504"/>
      <c r="E675" s="504"/>
      <c r="G675" s="504"/>
    </row>
    <row r="676">
      <c r="C676" s="504"/>
      <c r="E676" s="504"/>
      <c r="G676" s="504"/>
    </row>
    <row r="677">
      <c r="C677" s="504"/>
      <c r="E677" s="504"/>
      <c r="G677" s="504"/>
    </row>
    <row r="678">
      <c r="C678" s="504"/>
      <c r="E678" s="504"/>
      <c r="G678" s="504"/>
    </row>
    <row r="679">
      <c r="C679" s="504"/>
      <c r="E679" s="504"/>
      <c r="G679" s="504"/>
    </row>
    <row r="680">
      <c r="C680" s="504"/>
      <c r="E680" s="504"/>
      <c r="G680" s="504"/>
    </row>
    <row r="681">
      <c r="C681" s="504"/>
      <c r="E681" s="504"/>
      <c r="G681" s="504"/>
    </row>
    <row r="682">
      <c r="C682" s="504"/>
      <c r="E682" s="504"/>
      <c r="G682" s="504"/>
    </row>
    <row r="683">
      <c r="C683" s="504"/>
      <c r="E683" s="504"/>
      <c r="G683" s="504"/>
    </row>
    <row r="684">
      <c r="C684" s="504"/>
      <c r="E684" s="504"/>
      <c r="G684" s="504"/>
    </row>
    <row r="685">
      <c r="C685" s="504"/>
      <c r="E685" s="504"/>
      <c r="G685" s="504"/>
    </row>
    <row r="686">
      <c r="C686" s="504"/>
      <c r="E686" s="504"/>
      <c r="G686" s="504"/>
    </row>
    <row r="687">
      <c r="C687" s="504"/>
      <c r="E687" s="504"/>
      <c r="G687" s="504"/>
    </row>
    <row r="688">
      <c r="C688" s="504"/>
      <c r="E688" s="504"/>
      <c r="G688" s="504"/>
    </row>
    <row r="689">
      <c r="C689" s="504"/>
      <c r="E689" s="504"/>
      <c r="G689" s="504"/>
    </row>
    <row r="690">
      <c r="C690" s="504"/>
      <c r="E690" s="504"/>
      <c r="G690" s="504"/>
    </row>
    <row r="691">
      <c r="C691" s="504"/>
      <c r="E691" s="504"/>
      <c r="G691" s="504"/>
    </row>
    <row r="692">
      <c r="C692" s="504"/>
      <c r="E692" s="504"/>
      <c r="G692" s="504"/>
    </row>
    <row r="693">
      <c r="C693" s="504"/>
      <c r="E693" s="504"/>
      <c r="G693" s="504"/>
    </row>
    <row r="694">
      <c r="C694" s="504"/>
      <c r="E694" s="504"/>
      <c r="G694" s="504"/>
    </row>
    <row r="695">
      <c r="C695" s="504"/>
      <c r="E695" s="504"/>
      <c r="G695" s="504"/>
    </row>
    <row r="696">
      <c r="C696" s="504"/>
      <c r="E696" s="504"/>
      <c r="G696" s="504"/>
    </row>
    <row r="697">
      <c r="C697" s="504"/>
      <c r="E697" s="504"/>
      <c r="G697" s="504"/>
    </row>
    <row r="698">
      <c r="C698" s="504"/>
      <c r="E698" s="504"/>
      <c r="G698" s="504"/>
    </row>
    <row r="699">
      <c r="C699" s="504"/>
      <c r="E699" s="504"/>
      <c r="G699" s="504"/>
    </row>
    <row r="700">
      <c r="C700" s="504"/>
      <c r="E700" s="504"/>
      <c r="G700" s="504"/>
    </row>
    <row r="701">
      <c r="C701" s="504"/>
      <c r="E701" s="504"/>
      <c r="G701" s="504"/>
    </row>
    <row r="702">
      <c r="C702" s="504"/>
      <c r="E702" s="504"/>
      <c r="G702" s="504"/>
    </row>
    <row r="703">
      <c r="C703" s="504"/>
      <c r="E703" s="504"/>
      <c r="G703" s="504"/>
    </row>
    <row r="704">
      <c r="C704" s="504"/>
      <c r="E704" s="504"/>
      <c r="G704" s="504"/>
    </row>
    <row r="705">
      <c r="C705" s="504"/>
      <c r="E705" s="504"/>
      <c r="G705" s="504"/>
    </row>
    <row r="706">
      <c r="C706" s="504"/>
      <c r="E706" s="504"/>
      <c r="G706" s="504"/>
    </row>
    <row r="707">
      <c r="C707" s="504"/>
      <c r="E707" s="504"/>
      <c r="G707" s="504"/>
    </row>
    <row r="708">
      <c r="C708" s="504"/>
      <c r="E708" s="504"/>
      <c r="G708" s="504"/>
    </row>
    <row r="709">
      <c r="C709" s="504"/>
      <c r="E709" s="504"/>
      <c r="G709" s="504"/>
    </row>
    <row r="710">
      <c r="C710" s="504"/>
      <c r="E710" s="504"/>
      <c r="G710" s="504"/>
    </row>
    <row r="711">
      <c r="C711" s="504"/>
      <c r="E711" s="504"/>
      <c r="G711" s="504"/>
    </row>
    <row r="712">
      <c r="C712" s="504"/>
      <c r="E712" s="504"/>
      <c r="G712" s="504"/>
    </row>
    <row r="713">
      <c r="C713" s="504"/>
      <c r="E713" s="504"/>
      <c r="G713" s="504"/>
    </row>
    <row r="714">
      <c r="C714" s="504"/>
      <c r="E714" s="504"/>
      <c r="G714" s="504"/>
    </row>
    <row r="715">
      <c r="C715" s="504"/>
      <c r="E715" s="504"/>
      <c r="G715" s="504"/>
    </row>
    <row r="716">
      <c r="C716" s="504"/>
      <c r="E716" s="504"/>
      <c r="G716" s="504"/>
    </row>
    <row r="717">
      <c r="C717" s="504"/>
      <c r="E717" s="504"/>
      <c r="G717" s="504"/>
    </row>
    <row r="718">
      <c r="C718" s="504"/>
      <c r="E718" s="504"/>
      <c r="G718" s="504"/>
    </row>
    <row r="719">
      <c r="C719" s="504"/>
      <c r="E719" s="504"/>
      <c r="G719" s="504"/>
    </row>
    <row r="720">
      <c r="C720" s="504"/>
      <c r="E720" s="504"/>
      <c r="G720" s="504"/>
    </row>
    <row r="721">
      <c r="C721" s="504"/>
      <c r="E721" s="504"/>
      <c r="G721" s="504"/>
    </row>
    <row r="722">
      <c r="C722" s="504"/>
      <c r="E722" s="504"/>
      <c r="G722" s="504"/>
    </row>
    <row r="723">
      <c r="C723" s="504"/>
      <c r="E723" s="504"/>
      <c r="G723" s="504"/>
    </row>
    <row r="724">
      <c r="C724" s="504"/>
      <c r="E724" s="504"/>
      <c r="G724" s="504"/>
    </row>
    <row r="725">
      <c r="C725" s="504"/>
      <c r="E725" s="504"/>
      <c r="G725" s="504"/>
    </row>
    <row r="726">
      <c r="C726" s="504"/>
      <c r="E726" s="504"/>
      <c r="G726" s="504"/>
    </row>
    <row r="727">
      <c r="C727" s="504"/>
      <c r="E727" s="504"/>
      <c r="G727" s="504"/>
    </row>
    <row r="728">
      <c r="C728" s="504"/>
      <c r="E728" s="504"/>
      <c r="G728" s="504"/>
    </row>
    <row r="729">
      <c r="C729" s="504"/>
      <c r="E729" s="504"/>
      <c r="G729" s="504"/>
    </row>
    <row r="730">
      <c r="C730" s="504"/>
      <c r="E730" s="504"/>
      <c r="G730" s="504"/>
    </row>
    <row r="731">
      <c r="C731" s="504"/>
      <c r="E731" s="504"/>
      <c r="G731" s="504"/>
    </row>
    <row r="732">
      <c r="C732" s="504"/>
      <c r="E732" s="504"/>
      <c r="G732" s="504"/>
    </row>
    <row r="733">
      <c r="C733" s="504"/>
      <c r="E733" s="504"/>
      <c r="G733" s="504"/>
    </row>
    <row r="734">
      <c r="C734" s="504"/>
      <c r="E734" s="504"/>
      <c r="G734" s="504"/>
    </row>
    <row r="735">
      <c r="C735" s="504"/>
      <c r="E735" s="504"/>
      <c r="G735" s="504"/>
    </row>
    <row r="736">
      <c r="C736" s="504"/>
      <c r="E736" s="504"/>
      <c r="G736" s="504"/>
    </row>
    <row r="737">
      <c r="C737" s="504"/>
      <c r="E737" s="504"/>
      <c r="G737" s="504"/>
    </row>
    <row r="738">
      <c r="C738" s="504"/>
      <c r="E738" s="504"/>
      <c r="G738" s="504"/>
    </row>
    <row r="739">
      <c r="C739" s="504"/>
      <c r="E739" s="504"/>
      <c r="G739" s="504"/>
    </row>
    <row r="740">
      <c r="C740" s="504"/>
      <c r="E740" s="504"/>
      <c r="G740" s="504"/>
    </row>
    <row r="741">
      <c r="C741" s="504"/>
      <c r="E741" s="504"/>
      <c r="G741" s="504"/>
    </row>
    <row r="742">
      <c r="C742" s="504"/>
      <c r="E742" s="504"/>
      <c r="G742" s="504"/>
    </row>
    <row r="743">
      <c r="C743" s="504"/>
      <c r="E743" s="504"/>
      <c r="G743" s="504"/>
    </row>
    <row r="744">
      <c r="C744" s="504"/>
      <c r="E744" s="504"/>
      <c r="G744" s="504"/>
    </row>
    <row r="745">
      <c r="C745" s="504"/>
      <c r="E745" s="504"/>
      <c r="G745" s="504"/>
    </row>
    <row r="746">
      <c r="C746" s="504"/>
      <c r="E746" s="504"/>
      <c r="G746" s="504"/>
    </row>
    <row r="747">
      <c r="C747" s="504"/>
      <c r="E747" s="504"/>
      <c r="G747" s="504"/>
    </row>
    <row r="748">
      <c r="C748" s="504"/>
      <c r="E748" s="504"/>
      <c r="G748" s="504"/>
    </row>
    <row r="749">
      <c r="C749" s="504"/>
      <c r="E749" s="504"/>
      <c r="G749" s="504"/>
    </row>
    <row r="750">
      <c r="C750" s="504"/>
      <c r="E750" s="504"/>
      <c r="G750" s="504"/>
    </row>
    <row r="751">
      <c r="C751" s="504"/>
      <c r="E751" s="504"/>
      <c r="G751" s="504"/>
    </row>
    <row r="752">
      <c r="C752" s="504"/>
      <c r="E752" s="504"/>
      <c r="G752" s="504"/>
    </row>
    <row r="753">
      <c r="C753" s="504"/>
      <c r="E753" s="504"/>
      <c r="G753" s="504"/>
    </row>
    <row r="754">
      <c r="C754" s="504"/>
      <c r="E754" s="504"/>
      <c r="G754" s="504"/>
    </row>
    <row r="755">
      <c r="C755" s="504"/>
      <c r="E755" s="504"/>
      <c r="G755" s="504"/>
    </row>
    <row r="756">
      <c r="C756" s="504"/>
      <c r="E756" s="504"/>
      <c r="G756" s="504"/>
    </row>
    <row r="757">
      <c r="C757" s="504"/>
      <c r="E757" s="504"/>
      <c r="G757" s="504"/>
    </row>
    <row r="758">
      <c r="C758" s="504"/>
      <c r="E758" s="504"/>
      <c r="G758" s="504"/>
    </row>
    <row r="759">
      <c r="C759" s="504"/>
      <c r="E759" s="504"/>
      <c r="G759" s="504"/>
    </row>
    <row r="760">
      <c r="C760" s="504"/>
      <c r="E760" s="504"/>
      <c r="G760" s="504"/>
    </row>
    <row r="761">
      <c r="C761" s="504"/>
      <c r="E761" s="504"/>
      <c r="G761" s="504"/>
    </row>
    <row r="762">
      <c r="C762" s="504"/>
      <c r="E762" s="504"/>
      <c r="G762" s="504"/>
    </row>
    <row r="763">
      <c r="C763" s="504"/>
      <c r="E763" s="504"/>
      <c r="G763" s="504"/>
    </row>
    <row r="764">
      <c r="C764" s="504"/>
      <c r="E764" s="504"/>
      <c r="G764" s="504"/>
    </row>
    <row r="765">
      <c r="C765" s="504"/>
      <c r="E765" s="504"/>
      <c r="G765" s="504"/>
    </row>
    <row r="766">
      <c r="C766" s="504"/>
      <c r="E766" s="504"/>
      <c r="G766" s="504"/>
    </row>
    <row r="767">
      <c r="C767" s="504"/>
      <c r="E767" s="504"/>
      <c r="G767" s="504"/>
    </row>
    <row r="768">
      <c r="C768" s="504"/>
      <c r="E768" s="504"/>
      <c r="G768" s="504"/>
    </row>
    <row r="769">
      <c r="C769" s="504"/>
      <c r="E769" s="504"/>
      <c r="G769" s="504"/>
    </row>
    <row r="770">
      <c r="C770" s="504"/>
      <c r="E770" s="504"/>
      <c r="G770" s="504"/>
    </row>
    <row r="771">
      <c r="C771" s="504"/>
      <c r="E771" s="504"/>
      <c r="G771" s="504"/>
    </row>
    <row r="772">
      <c r="C772" s="504"/>
      <c r="E772" s="504"/>
      <c r="G772" s="504"/>
    </row>
    <row r="773">
      <c r="C773" s="504"/>
      <c r="E773" s="504"/>
      <c r="G773" s="504"/>
    </row>
    <row r="774">
      <c r="C774" s="504"/>
      <c r="E774" s="504"/>
      <c r="G774" s="504"/>
    </row>
    <row r="775">
      <c r="C775" s="504"/>
      <c r="E775" s="504"/>
      <c r="G775" s="504"/>
    </row>
    <row r="776">
      <c r="C776" s="504"/>
      <c r="E776" s="504"/>
      <c r="G776" s="504"/>
    </row>
    <row r="777">
      <c r="C777" s="504"/>
      <c r="E777" s="504"/>
      <c r="G777" s="504"/>
    </row>
    <row r="778">
      <c r="C778" s="504"/>
      <c r="E778" s="504"/>
      <c r="G778" s="504"/>
    </row>
    <row r="779">
      <c r="C779" s="504"/>
      <c r="E779" s="504"/>
      <c r="G779" s="504"/>
    </row>
    <row r="780">
      <c r="C780" s="504"/>
      <c r="E780" s="504"/>
      <c r="G780" s="504"/>
    </row>
    <row r="781">
      <c r="C781" s="504"/>
      <c r="E781" s="504"/>
      <c r="G781" s="504"/>
    </row>
    <row r="782">
      <c r="C782" s="504"/>
      <c r="E782" s="504"/>
      <c r="G782" s="504"/>
    </row>
    <row r="783">
      <c r="C783" s="504"/>
      <c r="E783" s="504"/>
      <c r="G783" s="504"/>
    </row>
    <row r="784">
      <c r="C784" s="504"/>
      <c r="E784" s="504"/>
      <c r="G784" s="504"/>
    </row>
    <row r="785">
      <c r="C785" s="504"/>
      <c r="E785" s="504"/>
      <c r="G785" s="504"/>
    </row>
    <row r="786">
      <c r="C786" s="504"/>
      <c r="E786" s="504"/>
      <c r="G786" s="504"/>
    </row>
    <row r="787">
      <c r="C787" s="504"/>
      <c r="E787" s="504"/>
      <c r="G787" s="504"/>
    </row>
    <row r="788">
      <c r="C788" s="504"/>
      <c r="E788" s="504"/>
      <c r="G788" s="504"/>
    </row>
    <row r="789">
      <c r="C789" s="504"/>
      <c r="E789" s="504"/>
      <c r="G789" s="504"/>
    </row>
    <row r="790">
      <c r="C790" s="504"/>
      <c r="E790" s="504"/>
      <c r="G790" s="504"/>
    </row>
    <row r="791">
      <c r="C791" s="504"/>
      <c r="E791" s="504"/>
      <c r="G791" s="504"/>
    </row>
    <row r="792">
      <c r="C792" s="504"/>
      <c r="E792" s="504"/>
      <c r="G792" s="504"/>
    </row>
    <row r="793">
      <c r="C793" s="504"/>
      <c r="E793" s="504"/>
      <c r="G793" s="504"/>
    </row>
    <row r="794">
      <c r="C794" s="504"/>
      <c r="E794" s="504"/>
      <c r="G794" s="504"/>
    </row>
    <row r="795">
      <c r="C795" s="504"/>
      <c r="E795" s="504"/>
      <c r="G795" s="504"/>
    </row>
    <row r="796">
      <c r="C796" s="504"/>
      <c r="E796" s="504"/>
      <c r="G796" s="504"/>
    </row>
    <row r="797">
      <c r="C797" s="504"/>
      <c r="E797" s="504"/>
      <c r="G797" s="504"/>
    </row>
    <row r="798">
      <c r="C798" s="504"/>
      <c r="E798" s="504"/>
      <c r="G798" s="504"/>
    </row>
    <row r="799">
      <c r="C799" s="504"/>
      <c r="E799" s="504"/>
      <c r="G799" s="504"/>
    </row>
    <row r="800">
      <c r="C800" s="504"/>
      <c r="E800" s="504"/>
      <c r="G800" s="504"/>
    </row>
    <row r="801">
      <c r="C801" s="504"/>
      <c r="E801" s="504"/>
      <c r="G801" s="504"/>
    </row>
    <row r="802">
      <c r="C802" s="504"/>
      <c r="E802" s="504"/>
      <c r="G802" s="504"/>
    </row>
    <row r="803">
      <c r="C803" s="504"/>
      <c r="E803" s="504"/>
      <c r="G803" s="504"/>
    </row>
    <row r="804">
      <c r="C804" s="504"/>
      <c r="E804" s="504"/>
      <c r="G804" s="504"/>
    </row>
    <row r="805">
      <c r="C805" s="504"/>
      <c r="E805" s="504"/>
      <c r="G805" s="504"/>
    </row>
    <row r="806">
      <c r="C806" s="504"/>
      <c r="E806" s="504"/>
      <c r="G806" s="504"/>
    </row>
    <row r="807">
      <c r="C807" s="504"/>
      <c r="E807" s="504"/>
      <c r="G807" s="504"/>
    </row>
    <row r="808">
      <c r="C808" s="504"/>
      <c r="E808" s="504"/>
      <c r="G808" s="504"/>
    </row>
    <row r="809">
      <c r="C809" s="504"/>
      <c r="E809" s="504"/>
      <c r="G809" s="504"/>
    </row>
    <row r="810">
      <c r="C810" s="504"/>
      <c r="E810" s="504"/>
      <c r="G810" s="504"/>
    </row>
    <row r="811">
      <c r="C811" s="504"/>
      <c r="E811" s="504"/>
      <c r="G811" s="504"/>
    </row>
    <row r="812">
      <c r="C812" s="504"/>
      <c r="E812" s="504"/>
      <c r="G812" s="504"/>
    </row>
    <row r="813">
      <c r="C813" s="504"/>
      <c r="E813" s="504"/>
      <c r="G813" s="504"/>
    </row>
    <row r="814">
      <c r="C814" s="504"/>
      <c r="E814" s="504"/>
      <c r="G814" s="504"/>
    </row>
    <row r="815">
      <c r="C815" s="504"/>
      <c r="E815" s="504"/>
      <c r="G815" s="504"/>
    </row>
    <row r="816">
      <c r="C816" s="504"/>
      <c r="E816" s="504"/>
      <c r="G816" s="504"/>
    </row>
    <row r="817">
      <c r="C817" s="504"/>
      <c r="E817" s="504"/>
      <c r="G817" s="504"/>
    </row>
    <row r="818">
      <c r="C818" s="504"/>
      <c r="E818" s="504"/>
      <c r="G818" s="504"/>
    </row>
    <row r="819">
      <c r="C819" s="504"/>
      <c r="E819" s="504"/>
      <c r="G819" s="504"/>
    </row>
    <row r="820">
      <c r="C820" s="504"/>
      <c r="E820" s="504"/>
      <c r="G820" s="504"/>
    </row>
    <row r="821">
      <c r="C821" s="504"/>
      <c r="E821" s="504"/>
      <c r="G821" s="504"/>
    </row>
    <row r="822">
      <c r="C822" s="504"/>
      <c r="E822" s="504"/>
      <c r="G822" s="504"/>
    </row>
    <row r="823">
      <c r="C823" s="504"/>
      <c r="E823" s="504"/>
      <c r="G823" s="504"/>
    </row>
    <row r="824">
      <c r="C824" s="504"/>
      <c r="E824" s="504"/>
      <c r="G824" s="504"/>
    </row>
    <row r="825">
      <c r="C825" s="504"/>
      <c r="E825" s="504"/>
      <c r="G825" s="504"/>
    </row>
    <row r="826">
      <c r="C826" s="504"/>
      <c r="E826" s="504"/>
      <c r="G826" s="504"/>
    </row>
    <row r="827">
      <c r="C827" s="504"/>
      <c r="E827" s="504"/>
      <c r="G827" s="504"/>
    </row>
    <row r="828">
      <c r="C828" s="504"/>
      <c r="E828" s="504"/>
      <c r="G828" s="504"/>
    </row>
    <row r="829">
      <c r="C829" s="504"/>
      <c r="E829" s="504"/>
      <c r="G829" s="504"/>
    </row>
    <row r="830">
      <c r="C830" s="504"/>
      <c r="E830" s="504"/>
      <c r="G830" s="504"/>
    </row>
    <row r="831">
      <c r="C831" s="504"/>
      <c r="E831" s="504"/>
      <c r="G831" s="504"/>
    </row>
    <row r="832">
      <c r="C832" s="504"/>
      <c r="E832" s="504"/>
      <c r="G832" s="504"/>
    </row>
    <row r="833">
      <c r="C833" s="504"/>
      <c r="E833" s="504"/>
      <c r="G833" s="504"/>
    </row>
    <row r="834">
      <c r="C834" s="504"/>
      <c r="E834" s="504"/>
      <c r="G834" s="504"/>
    </row>
    <row r="835">
      <c r="C835" s="504"/>
      <c r="E835" s="504"/>
      <c r="G835" s="504"/>
    </row>
    <row r="836">
      <c r="C836" s="504"/>
      <c r="E836" s="504"/>
      <c r="G836" s="504"/>
    </row>
    <row r="837">
      <c r="C837" s="504"/>
      <c r="E837" s="504"/>
      <c r="G837" s="504"/>
    </row>
    <row r="838">
      <c r="C838" s="504"/>
      <c r="E838" s="504"/>
      <c r="G838" s="504"/>
    </row>
    <row r="839">
      <c r="C839" s="504"/>
      <c r="E839" s="504"/>
      <c r="G839" s="504"/>
    </row>
    <row r="840">
      <c r="C840" s="504"/>
      <c r="E840" s="504"/>
      <c r="G840" s="504"/>
    </row>
    <row r="841">
      <c r="C841" s="504"/>
      <c r="E841" s="504"/>
      <c r="G841" s="504"/>
    </row>
    <row r="842">
      <c r="C842" s="504"/>
      <c r="E842" s="504"/>
      <c r="G842" s="504"/>
    </row>
    <row r="843">
      <c r="C843" s="504"/>
      <c r="E843" s="504"/>
      <c r="G843" s="504"/>
    </row>
    <row r="844">
      <c r="C844" s="504"/>
      <c r="E844" s="504"/>
      <c r="G844" s="504"/>
    </row>
    <row r="845">
      <c r="C845" s="504"/>
      <c r="E845" s="504"/>
      <c r="G845" s="504"/>
    </row>
    <row r="846">
      <c r="C846" s="504"/>
      <c r="E846" s="504"/>
      <c r="G846" s="504"/>
    </row>
    <row r="847">
      <c r="C847" s="504"/>
      <c r="E847" s="504"/>
      <c r="G847" s="504"/>
    </row>
    <row r="848">
      <c r="C848" s="504"/>
      <c r="E848" s="504"/>
      <c r="G848" s="504"/>
    </row>
    <row r="849">
      <c r="C849" s="504"/>
      <c r="E849" s="504"/>
      <c r="G849" s="504"/>
    </row>
    <row r="850">
      <c r="C850" s="504"/>
      <c r="E850" s="504"/>
      <c r="G850" s="504"/>
    </row>
    <row r="851">
      <c r="C851" s="504"/>
      <c r="E851" s="504"/>
      <c r="G851" s="504"/>
    </row>
    <row r="852">
      <c r="C852" s="504"/>
      <c r="E852" s="504"/>
      <c r="G852" s="504"/>
    </row>
    <row r="853">
      <c r="C853" s="504"/>
      <c r="E853" s="504"/>
      <c r="G853" s="504"/>
    </row>
    <row r="854">
      <c r="C854" s="504"/>
      <c r="E854" s="504"/>
      <c r="G854" s="504"/>
    </row>
    <row r="855">
      <c r="C855" s="504"/>
      <c r="E855" s="504"/>
      <c r="G855" s="504"/>
    </row>
    <row r="856">
      <c r="C856" s="504"/>
      <c r="E856" s="504"/>
      <c r="G856" s="504"/>
    </row>
    <row r="857">
      <c r="C857" s="504"/>
      <c r="E857" s="504"/>
      <c r="G857" s="504"/>
    </row>
    <row r="858">
      <c r="C858" s="504"/>
      <c r="E858" s="504"/>
      <c r="G858" s="504"/>
    </row>
    <row r="859">
      <c r="C859" s="504"/>
      <c r="E859" s="504"/>
      <c r="G859" s="504"/>
    </row>
    <row r="860">
      <c r="C860" s="504"/>
      <c r="E860" s="504"/>
      <c r="G860" s="504"/>
    </row>
    <row r="861">
      <c r="C861" s="504"/>
      <c r="E861" s="504"/>
      <c r="G861" s="504"/>
    </row>
    <row r="862">
      <c r="C862" s="504"/>
      <c r="E862" s="504"/>
      <c r="G862" s="504"/>
    </row>
    <row r="863">
      <c r="C863" s="504"/>
      <c r="E863" s="504"/>
      <c r="G863" s="504"/>
    </row>
    <row r="864">
      <c r="C864" s="504"/>
      <c r="E864" s="504"/>
      <c r="G864" s="504"/>
    </row>
    <row r="865">
      <c r="C865" s="504"/>
      <c r="E865" s="504"/>
      <c r="G865" s="504"/>
    </row>
    <row r="866">
      <c r="C866" s="504"/>
      <c r="E866" s="504"/>
      <c r="G866" s="504"/>
    </row>
    <row r="867">
      <c r="C867" s="504"/>
      <c r="E867" s="504"/>
      <c r="G867" s="504"/>
    </row>
    <row r="868">
      <c r="C868" s="504"/>
      <c r="E868" s="504"/>
      <c r="G868" s="504"/>
    </row>
    <row r="869">
      <c r="C869" s="504"/>
      <c r="E869" s="504"/>
      <c r="G869" s="504"/>
    </row>
    <row r="870">
      <c r="C870" s="504"/>
      <c r="E870" s="504"/>
      <c r="G870" s="504"/>
    </row>
    <row r="871">
      <c r="C871" s="504"/>
      <c r="E871" s="504"/>
      <c r="G871" s="504"/>
    </row>
    <row r="872">
      <c r="C872" s="504"/>
      <c r="E872" s="504"/>
      <c r="G872" s="504"/>
    </row>
    <row r="873">
      <c r="C873" s="504"/>
      <c r="E873" s="504"/>
      <c r="G873" s="504"/>
    </row>
    <row r="874">
      <c r="C874" s="504"/>
      <c r="E874" s="504"/>
      <c r="G874" s="504"/>
    </row>
    <row r="875">
      <c r="C875" s="504"/>
      <c r="E875" s="504"/>
      <c r="G875" s="504"/>
    </row>
    <row r="876">
      <c r="C876" s="504"/>
      <c r="E876" s="504"/>
      <c r="G876" s="504"/>
    </row>
    <row r="877">
      <c r="C877" s="504"/>
      <c r="E877" s="504"/>
      <c r="G877" s="504"/>
    </row>
    <row r="878">
      <c r="C878" s="504"/>
      <c r="E878" s="504"/>
      <c r="G878" s="504"/>
    </row>
    <row r="879">
      <c r="C879" s="504"/>
      <c r="E879" s="504"/>
      <c r="G879" s="504"/>
    </row>
    <row r="880">
      <c r="C880" s="504"/>
      <c r="E880" s="504"/>
      <c r="G880" s="504"/>
    </row>
    <row r="881">
      <c r="C881" s="504"/>
      <c r="E881" s="504"/>
      <c r="G881" s="504"/>
    </row>
    <row r="882">
      <c r="C882" s="504"/>
      <c r="E882" s="504"/>
      <c r="G882" s="504"/>
    </row>
    <row r="883">
      <c r="C883" s="504"/>
      <c r="E883" s="504"/>
      <c r="G883" s="504"/>
    </row>
    <row r="884">
      <c r="C884" s="504"/>
      <c r="E884" s="504"/>
      <c r="G884" s="504"/>
    </row>
    <row r="885">
      <c r="C885" s="504"/>
      <c r="E885" s="504"/>
      <c r="G885" s="504"/>
    </row>
    <row r="886">
      <c r="C886" s="504"/>
      <c r="E886" s="504"/>
      <c r="G886" s="504"/>
    </row>
    <row r="887">
      <c r="C887" s="504"/>
      <c r="E887" s="504"/>
      <c r="G887" s="504"/>
    </row>
    <row r="888">
      <c r="C888" s="504"/>
      <c r="E888" s="504"/>
      <c r="G888" s="504"/>
    </row>
    <row r="889">
      <c r="C889" s="504"/>
      <c r="E889" s="504"/>
      <c r="G889" s="504"/>
    </row>
    <row r="890">
      <c r="C890" s="504"/>
      <c r="E890" s="504"/>
      <c r="G890" s="504"/>
    </row>
    <row r="891">
      <c r="C891" s="504"/>
      <c r="E891" s="504"/>
      <c r="G891" s="504"/>
    </row>
    <row r="892">
      <c r="C892" s="504"/>
      <c r="E892" s="504"/>
      <c r="G892" s="504"/>
    </row>
    <row r="893">
      <c r="C893" s="504"/>
      <c r="E893" s="504"/>
      <c r="G893" s="504"/>
    </row>
    <row r="894">
      <c r="C894" s="504"/>
      <c r="E894" s="504"/>
      <c r="G894" s="504"/>
    </row>
    <row r="895">
      <c r="C895" s="504"/>
      <c r="E895" s="504"/>
      <c r="G895" s="504"/>
    </row>
    <row r="896">
      <c r="C896" s="504"/>
      <c r="E896" s="504"/>
      <c r="G896" s="504"/>
    </row>
    <row r="897">
      <c r="C897" s="504"/>
      <c r="E897" s="504"/>
      <c r="G897" s="504"/>
    </row>
    <row r="898">
      <c r="C898" s="504"/>
      <c r="E898" s="504"/>
      <c r="G898" s="504"/>
    </row>
    <row r="899">
      <c r="C899" s="504"/>
      <c r="E899" s="504"/>
      <c r="G899" s="504"/>
    </row>
    <row r="900">
      <c r="C900" s="504"/>
      <c r="E900" s="504"/>
      <c r="G900" s="504"/>
    </row>
    <row r="901">
      <c r="C901" s="504"/>
      <c r="E901" s="504"/>
      <c r="G901" s="504"/>
    </row>
    <row r="902">
      <c r="C902" s="504"/>
      <c r="E902" s="504"/>
      <c r="G902" s="504"/>
    </row>
    <row r="903">
      <c r="C903" s="504"/>
      <c r="E903" s="504"/>
      <c r="G903" s="504"/>
    </row>
    <row r="904">
      <c r="C904" s="504"/>
      <c r="E904" s="504"/>
      <c r="G904" s="504"/>
    </row>
    <row r="905">
      <c r="C905" s="504"/>
      <c r="E905" s="504"/>
      <c r="G905" s="504"/>
    </row>
    <row r="906">
      <c r="C906" s="504"/>
      <c r="E906" s="504"/>
      <c r="G906" s="504"/>
    </row>
    <row r="907">
      <c r="C907" s="504"/>
      <c r="E907" s="504"/>
      <c r="G907" s="504"/>
    </row>
    <row r="908">
      <c r="C908" s="504"/>
      <c r="E908" s="504"/>
      <c r="G908" s="504"/>
    </row>
    <row r="909">
      <c r="C909" s="504"/>
      <c r="E909" s="504"/>
      <c r="G909" s="504"/>
    </row>
    <row r="910">
      <c r="C910" s="504"/>
      <c r="E910" s="504"/>
      <c r="G910" s="504"/>
    </row>
    <row r="911">
      <c r="C911" s="504"/>
      <c r="E911" s="504"/>
      <c r="G911" s="504"/>
    </row>
    <row r="912">
      <c r="C912" s="504"/>
      <c r="E912" s="504"/>
      <c r="G912" s="504"/>
    </row>
    <row r="913">
      <c r="C913" s="504"/>
      <c r="E913" s="504"/>
      <c r="G913" s="504"/>
    </row>
    <row r="914">
      <c r="C914" s="504"/>
      <c r="E914" s="504"/>
      <c r="G914" s="504"/>
    </row>
    <row r="915">
      <c r="C915" s="504"/>
      <c r="E915" s="504"/>
      <c r="G915" s="504"/>
    </row>
    <row r="916">
      <c r="C916" s="504"/>
      <c r="E916" s="504"/>
      <c r="G916" s="504"/>
    </row>
    <row r="917">
      <c r="C917" s="504"/>
      <c r="E917" s="504"/>
      <c r="G917" s="504"/>
    </row>
    <row r="918">
      <c r="C918" s="504"/>
      <c r="E918" s="504"/>
      <c r="G918" s="504"/>
    </row>
    <row r="919">
      <c r="C919" s="504"/>
      <c r="E919" s="504"/>
      <c r="G919" s="504"/>
    </row>
    <row r="920">
      <c r="C920" s="504"/>
      <c r="E920" s="504"/>
      <c r="G920" s="504"/>
    </row>
    <row r="921">
      <c r="C921" s="504"/>
      <c r="E921" s="504"/>
      <c r="G921" s="504"/>
    </row>
    <row r="922">
      <c r="C922" s="504"/>
      <c r="E922" s="504"/>
      <c r="G922" s="504"/>
    </row>
    <row r="923">
      <c r="C923" s="504"/>
      <c r="E923" s="504"/>
      <c r="G923" s="504"/>
    </row>
    <row r="924">
      <c r="C924" s="504"/>
      <c r="E924" s="504"/>
      <c r="G924" s="504"/>
    </row>
    <row r="925">
      <c r="C925" s="504"/>
      <c r="E925" s="504"/>
      <c r="G925" s="504"/>
    </row>
    <row r="926">
      <c r="C926" s="504"/>
      <c r="E926" s="504"/>
      <c r="G926" s="504"/>
    </row>
    <row r="927">
      <c r="C927" s="504"/>
      <c r="E927" s="504"/>
      <c r="G927" s="504"/>
    </row>
    <row r="928">
      <c r="C928" s="504"/>
      <c r="E928" s="504"/>
      <c r="G928" s="504"/>
    </row>
    <row r="929">
      <c r="C929" s="504"/>
      <c r="E929" s="504"/>
      <c r="G929" s="504"/>
    </row>
    <row r="930">
      <c r="C930" s="504"/>
      <c r="E930" s="504"/>
      <c r="G930" s="504"/>
    </row>
    <row r="931">
      <c r="C931" s="504"/>
      <c r="E931" s="504"/>
      <c r="G931" s="504"/>
    </row>
    <row r="932">
      <c r="C932" s="504"/>
      <c r="E932" s="504"/>
      <c r="G932" s="504"/>
    </row>
    <row r="933">
      <c r="C933" s="504"/>
      <c r="E933" s="504"/>
      <c r="G933" s="504"/>
    </row>
    <row r="934">
      <c r="C934" s="504"/>
      <c r="E934" s="504"/>
      <c r="G934" s="504"/>
    </row>
    <row r="935">
      <c r="C935" s="504"/>
      <c r="E935" s="504"/>
      <c r="G935" s="504"/>
    </row>
    <row r="936">
      <c r="C936" s="504"/>
      <c r="E936" s="504"/>
      <c r="G936" s="504"/>
    </row>
    <row r="937">
      <c r="C937" s="504"/>
      <c r="E937" s="504"/>
      <c r="G937" s="504"/>
    </row>
    <row r="938">
      <c r="C938" s="504"/>
      <c r="E938" s="504"/>
      <c r="G938" s="504"/>
    </row>
    <row r="939">
      <c r="C939" s="504"/>
      <c r="E939" s="504"/>
      <c r="G939" s="504"/>
    </row>
    <row r="940">
      <c r="C940" s="504"/>
      <c r="E940" s="504"/>
      <c r="G940" s="504"/>
    </row>
    <row r="941">
      <c r="C941" s="504"/>
      <c r="E941" s="504"/>
      <c r="G941" s="504"/>
    </row>
    <row r="942">
      <c r="C942" s="504"/>
      <c r="E942" s="504"/>
      <c r="G942" s="504"/>
    </row>
    <row r="943">
      <c r="C943" s="504"/>
      <c r="E943" s="504"/>
      <c r="G943" s="504"/>
    </row>
    <row r="944">
      <c r="C944" s="504"/>
      <c r="E944" s="504"/>
      <c r="G944" s="504"/>
    </row>
    <row r="945">
      <c r="C945" s="504"/>
      <c r="E945" s="504"/>
      <c r="G945" s="504"/>
    </row>
    <row r="946">
      <c r="C946" s="504"/>
      <c r="E946" s="504"/>
      <c r="G946" s="504"/>
    </row>
    <row r="947">
      <c r="C947" s="504"/>
      <c r="E947" s="504"/>
      <c r="G947" s="504"/>
    </row>
    <row r="948">
      <c r="C948" s="504"/>
      <c r="E948" s="504"/>
      <c r="G948" s="504"/>
    </row>
    <row r="949">
      <c r="C949" s="504"/>
      <c r="E949" s="504"/>
      <c r="G949" s="504"/>
    </row>
    <row r="950">
      <c r="C950" s="504"/>
      <c r="E950" s="504"/>
      <c r="G950" s="504"/>
    </row>
    <row r="951">
      <c r="C951" s="504"/>
      <c r="E951" s="504"/>
      <c r="G951" s="504"/>
    </row>
    <row r="952">
      <c r="C952" s="504"/>
      <c r="E952" s="504"/>
      <c r="G952" s="504"/>
    </row>
    <row r="953">
      <c r="C953" s="504"/>
      <c r="E953" s="504"/>
      <c r="G953" s="504"/>
    </row>
    <row r="954">
      <c r="C954" s="504"/>
      <c r="E954" s="504"/>
      <c r="G954" s="504"/>
    </row>
    <row r="955">
      <c r="C955" s="504"/>
      <c r="E955" s="504"/>
      <c r="G955" s="504"/>
    </row>
    <row r="956">
      <c r="C956" s="504"/>
      <c r="E956" s="504"/>
      <c r="G956" s="504"/>
    </row>
    <row r="957">
      <c r="C957" s="504"/>
      <c r="E957" s="504"/>
      <c r="G957" s="504"/>
    </row>
    <row r="958">
      <c r="C958" s="504"/>
      <c r="E958" s="504"/>
      <c r="G958" s="504"/>
    </row>
    <row r="959">
      <c r="C959" s="504"/>
      <c r="E959" s="504"/>
      <c r="G959" s="504"/>
    </row>
    <row r="960">
      <c r="C960" s="504"/>
      <c r="E960" s="504"/>
      <c r="G960" s="504"/>
    </row>
    <row r="961">
      <c r="C961" s="504"/>
      <c r="E961" s="504"/>
      <c r="G961" s="504"/>
    </row>
    <row r="962">
      <c r="C962" s="504"/>
      <c r="E962" s="504"/>
      <c r="G962" s="504"/>
    </row>
    <row r="963">
      <c r="C963" s="504"/>
      <c r="E963" s="504"/>
      <c r="G963" s="504"/>
    </row>
    <row r="964">
      <c r="C964" s="504"/>
      <c r="E964" s="504"/>
      <c r="G964" s="504"/>
    </row>
    <row r="965">
      <c r="C965" s="504"/>
      <c r="E965" s="504"/>
      <c r="G965" s="504"/>
    </row>
    <row r="966">
      <c r="C966" s="504"/>
      <c r="E966" s="504"/>
      <c r="G966" s="504"/>
    </row>
    <row r="967">
      <c r="C967" s="504"/>
      <c r="E967" s="504"/>
      <c r="G967" s="504"/>
    </row>
    <row r="968">
      <c r="C968" s="504"/>
      <c r="E968" s="504"/>
      <c r="G968" s="504"/>
    </row>
    <row r="969">
      <c r="C969" s="504"/>
      <c r="E969" s="504"/>
      <c r="G969" s="504"/>
    </row>
    <row r="970">
      <c r="C970" s="504"/>
      <c r="E970" s="504"/>
      <c r="G970" s="504"/>
    </row>
    <row r="971">
      <c r="C971" s="504"/>
      <c r="E971" s="504"/>
      <c r="G971" s="504"/>
    </row>
    <row r="972">
      <c r="C972" s="504"/>
      <c r="E972" s="504"/>
      <c r="G972" s="504"/>
    </row>
    <row r="973">
      <c r="C973" s="504"/>
      <c r="E973" s="504"/>
      <c r="G973" s="504"/>
    </row>
    <row r="974">
      <c r="C974" s="504"/>
      <c r="E974" s="504"/>
      <c r="G974" s="504"/>
    </row>
    <row r="975">
      <c r="C975" s="504"/>
      <c r="E975" s="504"/>
      <c r="G975" s="504"/>
    </row>
    <row r="976">
      <c r="C976" s="504"/>
      <c r="E976" s="504"/>
      <c r="G976" s="504"/>
    </row>
    <row r="977">
      <c r="C977" s="504"/>
      <c r="E977" s="504"/>
      <c r="G977" s="504"/>
    </row>
    <row r="978">
      <c r="C978" s="504"/>
      <c r="E978" s="504"/>
      <c r="G978" s="504"/>
    </row>
    <row r="979">
      <c r="C979" s="504"/>
      <c r="E979" s="504"/>
      <c r="G979" s="504"/>
    </row>
    <row r="980">
      <c r="C980" s="504"/>
      <c r="E980" s="504"/>
      <c r="G980" s="504"/>
    </row>
    <row r="981">
      <c r="C981" s="504"/>
      <c r="E981" s="504"/>
      <c r="G981" s="504"/>
    </row>
    <row r="982">
      <c r="C982" s="504"/>
      <c r="E982" s="504"/>
      <c r="G982" s="504"/>
    </row>
    <row r="983">
      <c r="C983" s="504"/>
      <c r="E983" s="504"/>
      <c r="G983" s="504"/>
    </row>
    <row r="984">
      <c r="C984" s="504"/>
      <c r="E984" s="504"/>
      <c r="G984" s="504"/>
    </row>
    <row r="985">
      <c r="C985" s="504"/>
      <c r="E985" s="504"/>
      <c r="G985" s="504"/>
    </row>
    <row r="986">
      <c r="C986" s="504"/>
      <c r="E986" s="504"/>
      <c r="G986" s="504"/>
    </row>
    <row r="987">
      <c r="C987" s="504"/>
      <c r="E987" s="504"/>
      <c r="G987" s="504"/>
    </row>
    <row r="988">
      <c r="C988" s="504"/>
      <c r="E988" s="504"/>
      <c r="G988" s="504"/>
    </row>
    <row r="989">
      <c r="C989" s="504"/>
      <c r="E989" s="504"/>
      <c r="G989" s="504"/>
    </row>
    <row r="990">
      <c r="C990" s="504"/>
      <c r="E990" s="504"/>
      <c r="G990" s="504"/>
    </row>
    <row r="991">
      <c r="C991" s="504"/>
      <c r="E991" s="504"/>
      <c r="G991" s="504"/>
    </row>
    <row r="992">
      <c r="C992" s="504"/>
      <c r="E992" s="504"/>
      <c r="G992" s="504"/>
    </row>
    <row r="993">
      <c r="C993" s="504"/>
      <c r="E993" s="504"/>
      <c r="G993" s="504"/>
    </row>
    <row r="994">
      <c r="C994" s="504"/>
      <c r="E994" s="504"/>
      <c r="G994" s="504"/>
    </row>
    <row r="995">
      <c r="C995" s="504"/>
      <c r="E995" s="504"/>
      <c r="G995" s="504"/>
    </row>
  </sheetData>
  <autoFilter ref="$A$1:$H$28">
    <sortState ref="A1:H28">
      <sortCondition descending="1" ref="H1:H28"/>
    </sortState>
  </autoFilter>
  <mergeCells count="4">
    <mergeCell ref="B1:C1"/>
    <mergeCell ref="D1:E1"/>
    <mergeCell ref="F1:G1"/>
    <mergeCell ref="A30:H32"/>
  </mergeCells>
  <conditionalFormatting sqref="C3:C28 E3:E28 G3:G28">
    <cfRule type="cellIs" dxfId="5" priority="1" operator="lessThanOrEqual">
      <formula>0.05</formula>
    </cfRule>
  </conditionalFormatting>
  <drawing r:id="rId1"/>
</worksheet>
</file>